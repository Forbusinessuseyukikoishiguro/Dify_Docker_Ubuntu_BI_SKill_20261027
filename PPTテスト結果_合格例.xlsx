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集計" sheetId="1" state="visible" r:id="rId1"/>
    <sheet xmlns:r="http://schemas.openxmlformats.org/officeDocument/2006/relationships" name="テスト結果" sheetId="2" state="visible" r:id="rId2"/>
    <sheet xmlns:r="http://schemas.openxmlformats.org/officeDocument/2006/relationships" name="不合格一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7F7F7F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9" fontId="3" fillId="0" borderId="0" pivotButton="0" quotePrefix="0" xfId="0"/>
    <xf numFmtId="0" fontId="5" fillId="0" borderId="0" pivotButton="0" quotePrefix="0" xfId="0"/>
    <xf numFmtId="0" fontId="2" fillId="2" borderId="1" applyAlignment="1" pivotButton="0" quotePrefix="0" xfId="0">
      <alignment horizontal="center" wrapText="1"/>
    </xf>
    <xf numFmtId="0" fontId="3" fillId="0" borderId="1" applyAlignment="1" pivotButton="0" quotePrefix="0" xfId="0">
      <alignment vertical="top" wrapText="1"/>
    </xf>
    <xf numFmtId="0" fontId="2" fillId="2" borderId="0" pivotButton="0" quotePrefix="0" xfId="0"/>
  </cellXfs>
  <cellStyles count="1">
    <cellStyle name="Normal" xfId="0" builtinId="0" hidden="0"/>
  </cellStyles>
  <dxfs count="3">
    <dxf>
      <font>
        <name val="Arial"/>
        <b val="1"/>
        <color rgb="00C00000"/>
      </font>
    </dxf>
    <dxf>
      <font>
        <name val="Arial"/>
        <b val="1"/>
        <color rgb="00C55A11"/>
      </font>
    </dxf>
    <dxf>
      <font>
        <name val="Arial"/>
        <b val="1"/>
        <color rgb="0000703C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</cols>
  <sheetData>
    <row r="1">
      <c r="A1" s="1" t="inlineStr">
        <is>
          <t>テスト集計（自動）</t>
        </is>
      </c>
    </row>
    <row r="3">
      <c r="A3" s="2" t="inlineStr">
        <is>
          <t>テストの数</t>
        </is>
      </c>
      <c r="B3" s="3">
        <f>COUNTA('テスト結果'!A4:A16)</f>
        <v/>
      </c>
    </row>
    <row r="4">
      <c r="A4" s="2" t="inlineStr">
        <is>
          <t>合格</t>
        </is>
      </c>
      <c r="B4" s="3">
        <f>COUNTIF('テスト結果'!F4:F16,"合格")</f>
        <v/>
      </c>
    </row>
    <row r="5">
      <c r="A5" s="2" t="inlineStr">
        <is>
          <t>不合格</t>
        </is>
      </c>
      <c r="B5" s="3">
        <f>COUNTIF('テスト結果'!F4:F16,"不合格")</f>
        <v/>
      </c>
    </row>
    <row r="6">
      <c r="A6" s="2" t="inlineStr">
        <is>
          <t>要確認</t>
        </is>
      </c>
      <c r="B6" s="3">
        <f>COUNTIF('テスト結果'!F4:F16,"要確認")</f>
        <v/>
      </c>
    </row>
    <row r="7">
      <c r="A7" s="2" t="inlineStr">
        <is>
          <t>合格率（判定済みの中）</t>
        </is>
      </c>
      <c r="B7" s="4">
        <f>IFERROR(B4/(B4+B5),0)</f>
        <v/>
      </c>
    </row>
    <row r="8">
      <c r="A8" s="2" t="inlineStr">
        <is>
          <t>総合判定</t>
        </is>
      </c>
      <c r="B8" s="3">
        <f>IF(B5&gt;0,"不合格（修正が必要）",IF(B6&gt;0,"条件つき（要確認あり）","合格"))</f>
        <v/>
      </c>
    </row>
    <row r="11">
      <c r="A11" s="5" t="inlineStr">
        <is>
          <t>注意：テストは自動検査。要確認は人が判定する。修正は承認後に行う。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14" customWidth="1" min="4" max="4"/>
    <col width="26" customWidth="1" min="5" max="5"/>
    <col width="10" customWidth="1" min="6" max="6"/>
    <col width="44" customWidth="1" min="7" max="7"/>
    <col width="36" customWidth="1" min="8" max="8"/>
  </cols>
  <sheetData>
    <row r="1">
      <c r="A1" s="1" t="inlineStr">
        <is>
          <t>PPT テスト結果（../tests/good.pptx）</t>
        </is>
      </c>
    </row>
    <row r="3">
      <c r="A3" s="6" t="inlineStr">
        <is>
          <t>テストID</t>
        </is>
      </c>
      <c r="B3" s="6" t="inlineStr">
        <is>
          <t>区分</t>
        </is>
      </c>
      <c r="C3" s="6" t="inlineStr">
        <is>
          <t>テスト内容</t>
        </is>
      </c>
      <c r="D3" s="6" t="inlineStr">
        <is>
          <t>対象</t>
        </is>
      </c>
      <c r="E3" s="6" t="inlineStr">
        <is>
          <t>期待（基準）</t>
        </is>
      </c>
      <c r="F3" s="6" t="inlineStr">
        <is>
          <t>結果</t>
        </is>
      </c>
      <c r="G3" s="6" t="inlineStr">
        <is>
          <t>実測・詳細</t>
        </is>
      </c>
      <c r="H3" s="6" t="inlineStr">
        <is>
          <t>修正案</t>
        </is>
      </c>
    </row>
    <row r="4">
      <c r="A4" s="7" t="inlineStr">
        <is>
          <t>P-01</t>
        </is>
      </c>
      <c r="B4" s="7" t="inlineStr">
        <is>
          <t>形式</t>
        </is>
      </c>
      <c r="C4" s="7" t="inlineStr">
        <is>
          <t>スライドサイズが 16:9</t>
        </is>
      </c>
      <c r="D4" s="7" t="inlineStr">
        <is>
          <t>全体</t>
        </is>
      </c>
      <c r="E4" s="7" t="inlineStr">
        <is>
          <t>16:9</t>
        </is>
      </c>
      <c r="F4" s="7" t="inlineStr">
        <is>
          <t>合格</t>
        </is>
      </c>
      <c r="G4" s="7" t="inlineStr">
        <is>
          <t>13.33×7.50 in</t>
        </is>
      </c>
      <c r="H4" s="7" t="inlineStr"/>
    </row>
    <row r="5">
      <c r="A5" s="7" t="inlineStr">
        <is>
          <t>P-02</t>
        </is>
      </c>
      <c r="B5" s="7" t="inlineStr">
        <is>
          <t>形式</t>
        </is>
      </c>
      <c r="C5" s="7" t="inlineStr">
        <is>
          <t>タイトルのあるスライド</t>
        </is>
      </c>
      <c r="D5" s="7" t="inlineStr">
        <is>
          <t>全スライド</t>
        </is>
      </c>
      <c r="E5" s="7" t="inlineStr">
        <is>
          <t>タイトルあり</t>
        </is>
      </c>
      <c r="F5" s="7" t="inlineStr">
        <is>
          <t>合格</t>
        </is>
      </c>
      <c r="G5" s="7" t="inlineStr">
        <is>
          <t>テキストなしのスライド 0 件</t>
        </is>
      </c>
      <c r="H5" s="7" t="inlineStr"/>
    </row>
    <row r="6">
      <c r="A6" s="7" t="inlineStr">
        <is>
          <t>B-01</t>
        </is>
      </c>
      <c r="B6" s="7" t="inlineStr">
        <is>
          <t>ブランド</t>
        </is>
      </c>
      <c r="C6" s="7" t="inlineStr">
        <is>
          <t>フォントがブランド指定内</t>
        </is>
      </c>
      <c r="D6" s="7" t="inlineStr">
        <is>
          <t>全テキスト</t>
        </is>
      </c>
      <c r="E6" s="7" t="inlineStr">
        <is>
          <t>Meiryo</t>
        </is>
      </c>
      <c r="F6" s="7" t="inlineStr">
        <is>
          <t>合格</t>
        </is>
      </c>
      <c r="G6" s="7" t="inlineStr">
        <is>
          <t>全て指定内</t>
        </is>
      </c>
      <c r="H6" s="7" t="inlineStr"/>
    </row>
    <row r="7">
      <c r="A7" s="7" t="inlineStr">
        <is>
          <t>B-02</t>
        </is>
      </c>
      <c r="B7" s="7" t="inlineStr">
        <is>
          <t>ブランド</t>
        </is>
      </c>
      <c r="C7" s="7" t="inlineStr">
        <is>
          <t>色がパレット内</t>
        </is>
      </c>
      <c r="D7" s="7" t="inlineStr">
        <is>
          <t>全図形</t>
        </is>
      </c>
      <c r="E7" s="7" t="inlineStr">
        <is>
          <t>パレットの色（距離16以内）</t>
        </is>
      </c>
      <c r="F7" s="7" t="inlineStr">
        <is>
          <t>合格</t>
        </is>
      </c>
      <c r="G7" s="7" t="inlineStr">
        <is>
          <t>逸脱 0 件</t>
        </is>
      </c>
      <c r="H7" s="7" t="inlineStr"/>
    </row>
    <row r="8">
      <c r="A8" s="7" t="inlineStr">
        <is>
          <t>B-03</t>
        </is>
      </c>
      <c r="B8" s="7" t="inlineStr">
        <is>
          <t>ブランド</t>
        </is>
      </c>
      <c r="C8" s="7" t="inlineStr">
        <is>
          <t>本文の最小文字サイズ（14pt以上）</t>
        </is>
      </c>
      <c r="D8" s="7" t="inlineStr">
        <is>
          <t>全テキスト</t>
        </is>
      </c>
      <c r="E8" s="7" t="inlineStr">
        <is>
          <t>14pt以上</t>
        </is>
      </c>
      <c r="F8" s="7" t="inlineStr">
        <is>
          <t>合格</t>
        </is>
      </c>
      <c r="G8" s="7" t="inlineStr">
        <is>
          <t>0 件</t>
        </is>
      </c>
      <c r="H8" s="7" t="inlineStr"/>
    </row>
    <row r="9">
      <c r="A9" s="7" t="inlineStr">
        <is>
          <t>A-01</t>
        </is>
      </c>
      <c r="B9" s="7" t="inlineStr">
        <is>
          <t>品質</t>
        </is>
      </c>
      <c r="C9" s="7" t="inlineStr">
        <is>
          <t>文字と背景のコントラスト（WCAG）</t>
        </is>
      </c>
      <c r="D9" s="7" t="inlineStr">
        <is>
          <t>全テキスト</t>
        </is>
      </c>
      <c r="E9" s="7" t="inlineStr">
        <is>
          <t>4.5:1以上（大きい文字は3:1）</t>
        </is>
      </c>
      <c r="F9" s="7" t="inlineStr">
        <is>
          <t>合格</t>
        </is>
      </c>
      <c r="G9" s="7" t="inlineStr">
        <is>
          <t>不足 0 件</t>
        </is>
      </c>
      <c r="H9" s="7" t="inlineStr"/>
    </row>
    <row r="10">
      <c r="A10" s="7" t="inlineStr">
        <is>
          <t>A-02</t>
        </is>
      </c>
      <c r="B10" s="7" t="inlineStr">
        <is>
          <t>品質</t>
        </is>
      </c>
      <c r="C10" s="7" t="inlineStr">
        <is>
          <t>画像に代替テキストがある</t>
        </is>
      </c>
      <c r="D10" s="7" t="inlineStr">
        <is>
          <t>全画像</t>
        </is>
      </c>
      <c r="E10" s="7" t="inlineStr">
        <is>
          <t>代替テキストあり</t>
        </is>
      </c>
      <c r="F10" s="7" t="inlineStr">
        <is>
          <t>合格</t>
        </is>
      </c>
      <c r="G10" s="7" t="inlineStr">
        <is>
          <t>欠けている画像 0 件</t>
        </is>
      </c>
      <c r="H10" s="7" t="inlineStr"/>
    </row>
    <row r="11">
      <c r="A11" s="7" t="inlineStr">
        <is>
          <t>C-01</t>
        </is>
      </c>
      <c r="B11" s="7" t="inlineStr">
        <is>
          <t>内容</t>
        </is>
      </c>
      <c r="C11" s="7" t="inlineStr">
        <is>
          <t>禁止語が含まれない</t>
        </is>
      </c>
      <c r="D11" s="7" t="inlineStr">
        <is>
          <t>全テキスト</t>
        </is>
      </c>
      <c r="E11" s="7" t="inlineStr">
        <is>
          <t>禁止語なし</t>
        </is>
      </c>
      <c r="F11" s="7" t="inlineStr">
        <is>
          <t>合格</t>
        </is>
      </c>
      <c r="G11" s="7" t="inlineStr">
        <is>
          <t>検出なし</t>
        </is>
      </c>
      <c r="H11" s="7" t="inlineStr"/>
    </row>
    <row r="12">
      <c r="A12" s="7" t="inlineStr">
        <is>
          <t>C-02</t>
        </is>
      </c>
      <c r="B12" s="7" t="inlineStr">
        <is>
          <t>内容</t>
        </is>
      </c>
      <c r="C12" s="7" t="inlineStr">
        <is>
          <t>プレースホルダーが残っていない</t>
        </is>
      </c>
      <c r="D12" s="7" t="inlineStr">
        <is>
          <t>全テキスト</t>
        </is>
      </c>
      <c r="E12" s="7" t="inlineStr">
        <is>
          <t>残存なし</t>
        </is>
      </c>
      <c r="F12" s="7" t="inlineStr">
        <is>
          <t>合格</t>
        </is>
      </c>
      <c r="G12" s="7" t="inlineStr">
        <is>
          <t>残存なし</t>
        </is>
      </c>
      <c r="H12" s="7" t="inlineStr"/>
    </row>
    <row r="13">
      <c r="A13" s="7" t="inlineStr">
        <is>
          <t>C-03</t>
        </is>
      </c>
      <c r="B13" s="7" t="inlineStr">
        <is>
          <t>内容</t>
        </is>
      </c>
      <c r="C13" s="7" t="inlineStr">
        <is>
          <t>機密語が含まれない</t>
        </is>
      </c>
      <c r="D13" s="7" t="inlineStr">
        <is>
          <t>全テキスト</t>
        </is>
      </c>
      <c r="E13" s="7" t="inlineStr">
        <is>
          <t>機密語なし</t>
        </is>
      </c>
      <c r="F13" s="7" t="inlineStr">
        <is>
          <t>合格</t>
        </is>
      </c>
      <c r="G13" s="7" t="inlineStr">
        <is>
          <t>検出なし</t>
        </is>
      </c>
      <c r="H13" s="7" t="inlineStr"/>
    </row>
    <row r="14">
      <c r="A14" s="7" t="inlineStr">
        <is>
          <t>R-01</t>
        </is>
      </c>
      <c r="B14" s="7" t="inlineStr">
        <is>
          <t>要件</t>
        </is>
      </c>
      <c r="C14" s="7" t="inlineStr">
        <is>
          <t>必須キーワード「Node.js」</t>
        </is>
      </c>
      <c r="D14" s="7" t="inlineStr">
        <is>
          <t>全テキスト</t>
        </is>
      </c>
      <c r="E14" s="7" t="inlineStr">
        <is>
          <t>含まれる</t>
        </is>
      </c>
      <c r="F14" s="7" t="inlineStr">
        <is>
          <t>合格</t>
        </is>
      </c>
      <c r="G14" s="7" t="inlineStr">
        <is>
          <t>含む</t>
        </is>
      </c>
      <c r="H14" s="7" t="inlineStr"/>
    </row>
    <row r="15">
      <c r="A15" s="7" t="inlineStr">
        <is>
          <t>R-01</t>
        </is>
      </c>
      <c r="B15" s="7" t="inlineStr">
        <is>
          <t>要件</t>
        </is>
      </c>
      <c r="C15" s="7" t="inlineStr">
        <is>
          <t>必須キーワード「LTS」</t>
        </is>
      </c>
      <c r="D15" s="7" t="inlineStr">
        <is>
          <t>全テキスト</t>
        </is>
      </c>
      <c r="E15" s="7" t="inlineStr">
        <is>
          <t>含まれる</t>
        </is>
      </c>
      <c r="F15" s="7" t="inlineStr">
        <is>
          <t>合格</t>
        </is>
      </c>
      <c r="G15" s="7" t="inlineStr">
        <is>
          <t>含む</t>
        </is>
      </c>
      <c r="H15" s="7" t="inlineStr"/>
    </row>
    <row r="16">
      <c r="A16" s="7" t="inlineStr">
        <is>
          <t>R-02</t>
        </is>
      </c>
      <c r="B16" s="7" t="inlineStr">
        <is>
          <t>要件</t>
        </is>
      </c>
      <c r="C16" s="7" t="inlineStr">
        <is>
          <t>スライド数が20枚以下</t>
        </is>
      </c>
      <c r="D16" s="7" t="inlineStr">
        <is>
          <t>全体</t>
        </is>
      </c>
      <c r="E16" s="7" t="inlineStr">
        <is>
          <t>20枚以下</t>
        </is>
      </c>
      <c r="F16" s="7" t="inlineStr">
        <is>
          <t>合格</t>
        </is>
      </c>
      <c r="G16" s="7" t="inlineStr">
        <is>
          <t>3 枚</t>
        </is>
      </c>
      <c r="H16" s="7" t="inlineStr"/>
    </row>
  </sheetData>
  <conditionalFormatting sqref="F4:F16">
    <cfRule type="cellIs" priority="1" operator="equal" dxfId="0">
      <formula>"不合格"</formula>
    </cfRule>
    <cfRule type="cellIs" priority="2" operator="equal" dxfId="1">
      <formula>"要確認"</formula>
    </cfRule>
    <cfRule type="cellIs" priority="3" operator="equal" dxfId="2">
      <formula>"合格"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44" customWidth="1" min="4" max="4"/>
    <col width="36" customWidth="1" min="5" max="5"/>
  </cols>
  <sheetData>
    <row r="1">
      <c r="A1" s="8" t="inlineStr">
        <is>
          <t>テストID</t>
        </is>
      </c>
      <c r="B1" s="8" t="inlineStr">
        <is>
          <t>内容</t>
        </is>
      </c>
      <c r="C1" s="8" t="inlineStr">
        <is>
          <t>対象</t>
        </is>
      </c>
      <c r="D1" s="8" t="inlineStr">
        <is>
          <t>実測・詳細</t>
        </is>
      </c>
      <c r="E1" s="8" t="inlineStr">
        <is>
          <t>修正案（承認後に実施）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2026-10-24T12:11:17Z</dcterms:created>
  <dcterms:modified xmlns:dcterms="http://purl.org/dc/terms/" xmlns:xsi="http://www.w3.org/2001/XMLSchema-instance" xsi:type="dcterms:W3CDTF">2026-10-24T12:11:17Z</dcterms:modified>
</cp:coreProperties>
</file>