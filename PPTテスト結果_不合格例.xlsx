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集計" sheetId="1" state="visible" r:id="rId3"/>
    <sheet name="テスト結果" sheetId="2" state="visible" r:id="rId4"/>
    <sheet name="不合格一覧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<sst xmlns="http://schemas.openxmlformats.org/spreadsheetml/2006/main" count="155" uniqueCount="84">
  <si>
    <t xml:space="preserve">テスト集計（自動）</t>
  </si>
  <si>
    <t xml:space="preserve">テストの数</t>
  </si>
  <si>
    <t xml:space="preserve">合格</t>
  </si>
  <si>
    <t xml:space="preserve">不合格</t>
  </si>
  <si>
    <t xml:space="preserve">要確認</t>
  </si>
  <si>
    <t xml:space="preserve">合格率（判定済みの中）</t>
  </si>
  <si>
    <t xml:space="preserve">総合判定</t>
  </si>
  <si>
    <t xml:space="preserve">注意：テストは自動検査。要確認は人が判定する。修正は承認後に行う。</t>
  </si>
  <si>
    <r>
      <rPr>
        <b val="true"/>
        <sz val="13"/>
        <color rgb="FF1F3864"/>
        <rFont val="Arial"/>
        <family val="0"/>
        <charset val="1"/>
      </rPr>
      <t xml:space="preserve">PPT </t>
    </r>
    <r>
      <rPr>
        <b val="true"/>
        <sz val="13"/>
        <color rgb="FF1F3864"/>
        <rFont val="Noto Sans CJK SC"/>
        <family val="2"/>
      </rPr>
      <t xml:space="preserve">テスト結果（</t>
    </r>
    <r>
      <rPr>
        <b val="true"/>
        <sz val="13"/>
        <color rgb="FF1F3864"/>
        <rFont val="Arial"/>
        <family val="0"/>
        <charset val="1"/>
      </rPr>
      <t xml:space="preserve">../tests/bad.pptx</t>
    </r>
    <r>
      <rPr>
        <b val="true"/>
        <sz val="13"/>
        <color rgb="FF1F3864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</si>
  <si>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テスト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</si>
  <si>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区分</t>
  </si>
  <si>
    <t xml:space="preserve">テスト内容</t>
  </si>
  <si>
    <t xml:space="preserve">対象</t>
  </si>
  <si>
    <t xml:space="preserve">期待（基準）</t>
  </si>
  <si>
    <t xml:space="preserve">結果</t>
  </si>
  <si>
    <t xml:space="preserve">実測・詳細</t>
  </si>
  <si>
    <t xml:space="preserve">修正案</t>
  </si>
  <si>
    <t xml:space="preserve">P-01</t>
  </si>
  <si>
    <t xml:space="preserve">形式</t>
  </si>
  <si>
    <r>
      <rPr>
        <sz val="10"/>
        <rFont val="Noto Sans CJK SC"/>
        <family val="2"/>
      </rPr>
      <t xml:space="preserve">スライドサイズが </t>
    </r>
    <r>
      <rPr>
        <sz val="10"/>
        <rFont val="Arial"/>
        <family val="0"/>
        <charset val="1"/>
      </rPr>
      <t xml:space="preserve">16:9</t>
    </r>
  </si>
  <si>
    <t xml:space="preserve">全体</t>
  </si>
  <si>
    <t xml:space="preserve">16:9</t>
  </si>
  <si>
    <t xml:space="preserve">13.33×7.50 in</t>
  </si>
  <si>
    <t xml:space="preserve">P-02</t>
  </si>
  <si>
    <t xml:space="preserve">タイトルのあるスライド</t>
  </si>
  <si>
    <t xml:space="preserve">全スライド</t>
  </si>
  <si>
    <t xml:space="preserve">タイトルあり</t>
  </si>
  <si>
    <r>
      <rPr>
        <sz val="10"/>
        <rFont val="Noto Sans CJK SC"/>
        <family val="2"/>
      </rPr>
      <t xml:space="preserve">テキストなしのスライド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</t>
    </r>
  </si>
  <si>
    <r>
      <rPr>
        <sz val="10"/>
        <rFont val="Noto Sans CJK SC"/>
        <family val="2"/>
      </rPr>
      <t xml:space="preserve">スライド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：タイトルを入れる</t>
    </r>
  </si>
  <si>
    <t xml:space="preserve">B-01</t>
  </si>
  <si>
    <t xml:space="preserve">ブランド</t>
  </si>
  <si>
    <t xml:space="preserve">フォントがブランド指定内</t>
  </si>
  <si>
    <t xml:space="preserve">全テキスト</t>
  </si>
  <si>
    <t xml:space="preserve">Meiryo</t>
  </si>
  <si>
    <r>
      <rPr>
        <sz val="10"/>
        <rFont val="Noto Sans CJK SC"/>
        <family val="2"/>
      </rPr>
      <t xml:space="preserve">不一致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件：スライド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Arial</t>
    </r>
  </si>
  <si>
    <t xml:space="preserve">指定フォントに統一</t>
  </si>
  <si>
    <t xml:space="preserve">B-02</t>
  </si>
  <si>
    <t xml:space="preserve">色がパレット内</t>
  </si>
  <si>
    <t xml:space="preserve">全図形</t>
  </si>
  <si>
    <r>
      <rPr>
        <sz val="10"/>
        <rFont val="Noto Sans CJK SC"/>
        <family val="2"/>
      </rPr>
      <t xml:space="preserve">パレットの色（距離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以内）</t>
    </r>
  </si>
  <si>
    <r>
      <rPr>
        <sz val="10"/>
        <rFont val="Noto Sans CJK SC"/>
        <family val="2"/>
      </rPr>
      <t xml:space="preserve">逸脱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件</t>
    </r>
  </si>
  <si>
    <t xml:space="preserve">B-03</t>
  </si>
  <si>
    <r>
      <rPr>
        <sz val="10"/>
        <rFont val="Noto Sans CJK SC"/>
        <family val="2"/>
      </rPr>
      <t xml:space="preserve">本文の最小文字サイズ（</t>
    </r>
    <r>
      <rPr>
        <sz val="10"/>
        <rFont val="Arial"/>
        <family val="0"/>
        <charset val="1"/>
      </rPr>
      <t xml:space="preserve">14pt</t>
    </r>
    <r>
      <rPr>
        <sz val="10"/>
        <rFont val="Noto Sans CJK SC"/>
        <family val="2"/>
      </rPr>
      <t xml:space="preserve">以上）</t>
    </r>
  </si>
  <si>
    <r>
      <rPr>
        <sz val="10"/>
        <rFont val="Arial"/>
        <family val="0"/>
        <charset val="1"/>
      </rPr>
      <t xml:space="preserve">14pt</t>
    </r>
    <r>
      <rPr>
        <sz val="10"/>
        <rFont val="Noto Sans CJK SC"/>
        <family val="2"/>
      </rPr>
      <t xml:space="preserve">以上</t>
    </r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</si>
  <si>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件：スライド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10.0pt</t>
    </r>
    <r>
      <rPr>
        <sz val="10"/>
        <rFont val="Noto Sans CJK SC"/>
        <family val="2"/>
      </rPr>
      <t xml:space="preserve">「必ず動きます。」</t>
    </r>
  </si>
  <si>
    <r>
      <rPr>
        <sz val="10"/>
        <rFont val="Arial"/>
        <family val="0"/>
        <charset val="1"/>
      </rPr>
      <t xml:space="preserve">14pt </t>
    </r>
    <r>
      <rPr>
        <sz val="10"/>
        <rFont val="Noto Sans CJK SC"/>
        <family val="2"/>
      </rPr>
      <t xml:space="preserve">以上に拡大</t>
    </r>
  </si>
  <si>
    <t xml:space="preserve">A-01</t>
  </si>
  <si>
    <t xml:space="preserve">品質</t>
  </si>
  <si>
    <r>
      <rPr>
        <sz val="10"/>
        <rFont val="Noto Sans CJK SC"/>
        <family val="2"/>
      </rPr>
      <t xml:space="preserve">文字と背景のコントラスト（</t>
    </r>
    <r>
      <rPr>
        <sz val="10"/>
        <rFont val="Arial"/>
        <family val="0"/>
        <charset val="1"/>
      </rPr>
      <t xml:space="preserve">WCAG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</si>
  <si>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4.5:1</t>
    </r>
    <r>
      <rPr>
        <sz val="10"/>
        <rFont val="Noto Sans CJK SC"/>
        <family val="2"/>
      </rPr>
      <t xml:space="preserve">以上（大きい文字は</t>
    </r>
    <r>
      <rPr>
        <sz val="10"/>
        <rFont val="Arial"/>
        <family val="0"/>
        <charset val="1"/>
      </rPr>
      <t xml:space="preserve">3:1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</si>
  <si>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不足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件：スライド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2.68:1</t>
    </r>
    <r>
      <rPr>
        <sz val="10"/>
        <rFont val="Noto Sans CJK SC"/>
        <family val="2"/>
      </rPr>
      <t xml:space="preserve">（基準 </t>
    </r>
    <r>
      <rPr>
        <sz val="10"/>
        <rFont val="Arial"/>
        <family val="0"/>
        <charset val="1"/>
      </rPr>
      <t xml:space="preserve">3.0:1</t>
    </r>
    <r>
      <rPr>
        <sz val="10"/>
        <rFont val="Noto Sans CJK SC"/>
        <family val="2"/>
      </rPr>
      <t xml:space="preserve">）「</t>
    </r>
    <r>
      <rPr>
        <sz val="10"/>
        <rFont val="Arial"/>
        <family val="0"/>
        <charset val="1"/>
      </rPr>
      <t xml:space="preserve">LTS </t>
    </r>
    <r>
      <rPr>
        <sz val="10"/>
        <rFont val="Noto Sans CJK SC"/>
        <family val="2"/>
      </rPr>
      <t xml:space="preserve">版を使い、</t>
    </r>
    <r>
      <rPr>
        <sz val="10"/>
        <rFont val="Arial"/>
        <family val="0"/>
        <charset val="1"/>
      </rPr>
      <t xml:space="preserve">nod</t>
    </r>
    <r>
      <rPr>
        <sz val="10"/>
        <rFont val="Noto Sans CJK SC"/>
        <family val="2"/>
      </rPr>
      <t xml:space="preserve">」</t>
    </r>
  </si>
  <si>
    <t xml:space="preserve">文字色を濃くする、または背景を明るくする</t>
  </si>
  <si>
    <t xml:space="preserve">A-02</t>
  </si>
  <si>
    <t xml:space="preserve">画像に代替テキストがある</t>
  </si>
  <si>
    <t xml:space="preserve">全画像</t>
  </si>
  <si>
    <t xml:space="preserve">代替テキストあり</t>
  </si>
  <si>
    <r>
      <rPr>
        <sz val="10"/>
        <rFont val="Noto Sans CJK SC"/>
        <family val="2"/>
      </rPr>
      <t xml:space="preserve">欠けている画像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件</t>
    </r>
  </si>
  <si>
    <t xml:space="preserve">画像の説明文（代替テキスト）を入れる</t>
  </si>
  <si>
    <t xml:space="preserve">C-01</t>
  </si>
  <si>
    <t xml:space="preserve">内容</t>
  </si>
  <si>
    <t xml:space="preserve">禁止語が含まれない</t>
  </si>
  <si>
    <t xml:space="preserve">禁止語なし</t>
  </si>
  <si>
    <t xml:space="preserve">検出：必ず</t>
  </si>
  <si>
    <t xml:space="preserve">禁止語を条件つきの表現に言い換える</t>
  </si>
  <si>
    <t xml:space="preserve">C-02</t>
  </si>
  <si>
    <t xml:space="preserve">プレースホルダーが残っていない</t>
  </si>
  <si>
    <t xml:space="preserve">残存なし</t>
  </si>
  <si>
    <r>
      <rPr>
        <sz val="10"/>
        <rFont val="Noto Sans CJK SC"/>
        <family val="2"/>
      </rPr>
      <t xml:space="preserve">残存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種</t>
    </r>
  </si>
  <si>
    <t xml:space="preserve">未入力の箇所を埋める</t>
  </si>
  <si>
    <t xml:space="preserve">C-03</t>
  </si>
  <si>
    <t xml:space="preserve">機密語が含まれない</t>
  </si>
  <si>
    <t xml:space="preserve">機密語なし</t>
  </si>
  <si>
    <t xml:space="preserve">検出なし</t>
  </si>
  <si>
    <t xml:space="preserve">R-01</t>
  </si>
  <si>
    <t xml:space="preserve">要件</t>
  </si>
  <si>
    <r>
      <rPr>
        <sz val="10"/>
        <rFont val="Noto Sans CJK SC"/>
        <family val="2"/>
      </rPr>
      <t xml:space="preserve">必須キーワード「</t>
    </r>
    <r>
      <rPr>
        <sz val="10"/>
        <rFont val="Arial"/>
        <family val="0"/>
        <charset val="1"/>
      </rPr>
      <t xml:space="preserve">Node.js</t>
    </r>
    <r>
      <rPr>
        <sz val="10"/>
        <rFont val="Noto Sans CJK SC"/>
        <family val="2"/>
      </rPr>
      <t xml:space="preserve">」</t>
    </r>
  </si>
  <si>
    <t xml:space="preserve">含まれる</t>
  </si>
  <si>
    <t xml:space="preserve">含む</t>
  </si>
  <si>
    <r>
      <rPr>
        <sz val="10"/>
        <rFont val="Noto Sans CJK SC"/>
        <family val="2"/>
      </rPr>
      <t xml:space="preserve">必須キーワード「</t>
    </r>
    <r>
      <rPr>
        <sz val="10"/>
        <rFont val="Arial"/>
        <family val="0"/>
        <charset val="1"/>
      </rPr>
      <t xml:space="preserve">LTS</t>
    </r>
    <r>
      <rPr>
        <sz val="10"/>
        <rFont val="Noto Sans CJK SC"/>
        <family val="2"/>
      </rPr>
      <t xml:space="preserve">」</t>
    </r>
  </si>
  <si>
    <t xml:space="preserve">R-02</t>
  </si>
  <si>
    <r>
      <rPr>
        <sz val="10"/>
        <rFont val="Noto Sans CJK SC"/>
        <family val="2"/>
      </rPr>
      <t xml:space="preserve">スライド数が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枚以下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</si>
  <si>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枚以下</t>
    </r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</si>
  <si>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枚</t>
    </r>
  </si>
  <si>
    <t xml:space="preserve">修正案（承認後に実施）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</si>
</sst>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9"/>
      <color rgb="FF7F7F7F"/>
      <name val="Noto Sans CJK SC"/>
      <family val="2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55A11"/>
      </font>
    </dxf>
    <dxf>
      <font>
        <name val="Arial"/>
        <charset val="1"/>
        <family val="0"/>
        <b val="1"/>
        <color rgb="FF00703C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COUNTA(テスト結果!A4:A16)</f>
        <v>13</v>
      </c>
    </row>
    <row r="4" customFormat="false" ht="15" hidden="false" customHeight="false" outlineLevel="0" collapsed="false">
      <c r="A4" s="2" t="s">
        <v>2</v>
      </c>
      <c r="B4" s="3" t="n">
        <f aca="false">COUNTIF(テスト結果!F4:F16,"合格")</f>
        <v>6</v>
      </c>
    </row>
    <row r="5" customFormat="false" ht="15" hidden="false" customHeight="false" outlineLevel="0" collapsed="false">
      <c r="A5" s="2" t="s">
        <v>3</v>
      </c>
      <c r="B5" s="3" t="n">
        <f aca="false">COUNTIF(テスト結果!F4:F16,"不合格")</f>
        <v>7</v>
      </c>
    </row>
    <row r="6" customFormat="false" ht="15" hidden="false" customHeight="false" outlineLevel="0" collapsed="false">
      <c r="A6" s="2" t="s">
        <v>4</v>
      </c>
      <c r="B6" s="3" t="n">
        <f aca="false">COUNTIF(テスト結果!F4:F16,"要確認")</f>
        <v>0</v>
      </c>
    </row>
    <row r="7" customFormat="false" ht="15" hidden="false" customHeight="false" outlineLevel="0" collapsed="false">
      <c r="A7" s="2" t="s">
        <v>5</v>
      </c>
      <c r="B7" s="4" t="n">
        <f aca="false">IFERROR(B4/(B4+B5),0)</f>
        <v>0.461538461538462</v>
      </c>
    </row>
    <row r="8" customFormat="false" ht="15" hidden="false" customHeight="false" outlineLevel="0" collapsed="false">
      <c r="A8" s="2" t="s">
        <v>6</v>
      </c>
      <c r="B8" s="3" t="str">
        <f aca="false">IF(B5&gt;0,"不合格（修正が必要）",IF(B6&gt;0,"条件つき（要確認あり）","合格"))</f>
        <v>不合格（修正が必要）</v>
      </c>
    </row>
    <row r="11" customFormat="false" ht="15" hidden="false" customHeight="false" outlineLevel="0" collapsed="false">
      <c r="A11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36"/>
  </cols>
  <sheetData>
    <row r="1" customFormat="false" ht="20.1" hidden="false" customHeight="false" outlineLevel="0" collapsed="false">
      <c r="A1" s="6" t="s">
        <v>8</v>
      </c>
    </row>
    <row r="3" customFormat="false" ht="15" hidden="false" customHeight="false" outlineLevel="0" collapsed="false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</row>
    <row r="4" customFormat="false" ht="15" hidden="false" customHeight="false" outlineLevel="0" collapsed="false">
      <c r="A4" s="8" t="s">
        <v>17</v>
      </c>
      <c r="B4" s="9" t="s">
        <v>18</v>
      </c>
      <c r="C4" s="9" t="s">
        <v>19</v>
      </c>
      <c r="D4" s="9" t="s">
        <v>20</v>
      </c>
      <c r="E4" s="8" t="s">
        <v>21</v>
      </c>
      <c r="F4" s="9" t="s">
        <v>2</v>
      </c>
      <c r="G4" s="8" t="s">
        <v>22</v>
      </c>
      <c r="H4" s="8"/>
    </row>
    <row r="5" customFormat="false" ht="15" hidden="false" customHeight="false" outlineLevel="0" collapsed="false">
      <c r="A5" s="8" t="s">
        <v>23</v>
      </c>
      <c r="B5" s="9" t="s">
        <v>18</v>
      </c>
      <c r="C5" s="9" t="s">
        <v>24</v>
      </c>
      <c r="D5" s="9" t="s">
        <v>25</v>
      </c>
      <c r="E5" s="9" t="s">
        <v>26</v>
      </c>
      <c r="F5" s="9" t="s">
        <v>3</v>
      </c>
      <c r="G5" s="9" t="s">
        <v>27</v>
      </c>
      <c r="H5" s="9" t="s">
        <v>28</v>
      </c>
    </row>
    <row r="6" customFormat="false" ht="15" hidden="false" customHeight="false" outlineLevel="0" collapsed="false">
      <c r="A6" s="8" t="s">
        <v>29</v>
      </c>
      <c r="B6" s="9" t="s">
        <v>30</v>
      </c>
      <c r="C6" s="9" t="s">
        <v>31</v>
      </c>
      <c r="D6" s="9" t="s">
        <v>32</v>
      </c>
      <c r="E6" s="8" t="s">
        <v>33</v>
      </c>
      <c r="F6" s="9" t="s">
        <v>3</v>
      </c>
      <c r="G6" s="9" t="s">
        <v>34</v>
      </c>
      <c r="H6" s="9" t="s">
        <v>35</v>
      </c>
    </row>
    <row r="7" customFormat="false" ht="15" hidden="false" customHeight="false" outlineLevel="0" collapsed="false">
      <c r="A7" s="8" t="s">
        <v>36</v>
      </c>
      <c r="B7" s="9" t="s">
        <v>30</v>
      </c>
      <c r="C7" s="9" t="s">
        <v>37</v>
      </c>
      <c r="D7" s="9" t="s">
        <v>38</v>
      </c>
      <c r="E7" s="9" t="s">
        <v>39</v>
      </c>
      <c r="F7" s="9" t="s">
        <v>2</v>
      </c>
      <c r="G7" s="9" t="s">
        <v>40</v>
      </c>
      <c r="H7" s="8"/>
    </row>
    <row r="8" customFormat="false" ht="15" hidden="false" customHeight="false" outlineLevel="0" collapsed="false">
      <c r="A8" s="8" t="s">
        <v>41</v>
      </c>
      <c r="B8" s="9" t="s">
        <v>30</v>
      </c>
      <c r="C8" s="9" t="s">
        <v>42</v>
      </c>
      <c r="D8" s="9" t="s">
        <v>32</v>
      </c>
      <c r="E8" s="8" t="s">
        <v>43</v>
      </c>
      <c r="F8" s="9" t="s">
        <v>3</v>
      </c>
      <c r="G8" s="8" t="s">
        <v>44</v>
      </c>
      <c r="H8" s="8" t="s">
        <v>45</v>
      </c>
    </row>
    <row r="9" customFormat="false" ht="29.85" hidden="false" customHeight="false" outlineLevel="0" collapsed="false">
      <c r="A9" s="8" t="s">
        <v>46</v>
      </c>
      <c r="B9" s="9" t="s">
        <v>47</v>
      </c>
      <c r="C9" s="9" t="s">
        <v>48</v>
      </c>
      <c r="D9" s="9" t="s">
        <v>32</v>
      </c>
      <c r="E9" s="8" t="s">
        <v>49</v>
      </c>
      <c r="F9" s="9" t="s">
        <v>3</v>
      </c>
      <c r="G9" s="9" t="s">
        <v>50</v>
      </c>
      <c r="H9" s="9" t="s">
        <v>51</v>
      </c>
    </row>
    <row r="10" customFormat="false" ht="15" hidden="false" customHeight="false" outlineLevel="0" collapsed="false">
      <c r="A10" s="8" t="s">
        <v>52</v>
      </c>
      <c r="B10" s="9" t="s">
        <v>47</v>
      </c>
      <c r="C10" s="9" t="s">
        <v>53</v>
      </c>
      <c r="D10" s="9" t="s">
        <v>54</v>
      </c>
      <c r="E10" s="9" t="s">
        <v>55</v>
      </c>
      <c r="F10" s="9" t="s">
        <v>3</v>
      </c>
      <c r="G10" s="9" t="s">
        <v>56</v>
      </c>
      <c r="H10" s="9" t="s">
        <v>57</v>
      </c>
    </row>
    <row r="11" customFormat="false" ht="15" hidden="false" customHeight="false" outlineLevel="0" collapsed="false">
      <c r="A11" s="8" t="s">
        <v>58</v>
      </c>
      <c r="B11" s="9" t="s">
        <v>59</v>
      </c>
      <c r="C11" s="9" t="s">
        <v>60</v>
      </c>
      <c r="D11" s="9" t="s">
        <v>32</v>
      </c>
      <c r="E11" s="9" t="s">
        <v>61</v>
      </c>
      <c r="F11" s="9" t="s">
        <v>3</v>
      </c>
      <c r="G11" s="9" t="s">
        <v>62</v>
      </c>
      <c r="H11" s="9" t="s">
        <v>63</v>
      </c>
    </row>
    <row r="12" customFormat="false" ht="15" hidden="false" customHeight="false" outlineLevel="0" collapsed="false">
      <c r="A12" s="8" t="s">
        <v>64</v>
      </c>
      <c r="B12" s="9" t="s">
        <v>59</v>
      </c>
      <c r="C12" s="9" t="s">
        <v>65</v>
      </c>
      <c r="D12" s="9" t="s">
        <v>32</v>
      </c>
      <c r="E12" s="9" t="s">
        <v>66</v>
      </c>
      <c r="F12" s="9" t="s">
        <v>3</v>
      </c>
      <c r="G12" s="9" t="s">
        <v>67</v>
      </c>
      <c r="H12" s="9" t="s">
        <v>68</v>
      </c>
    </row>
    <row r="13" customFormat="false" ht="15" hidden="false" customHeight="false" outlineLevel="0" collapsed="false">
      <c r="A13" s="8" t="s">
        <v>69</v>
      </c>
      <c r="B13" s="9" t="s">
        <v>59</v>
      </c>
      <c r="C13" s="9" t="s">
        <v>70</v>
      </c>
      <c r="D13" s="9" t="s">
        <v>32</v>
      </c>
      <c r="E13" s="9" t="s">
        <v>71</v>
      </c>
      <c r="F13" s="9" t="s">
        <v>2</v>
      </c>
      <c r="G13" s="9" t="s">
        <v>72</v>
      </c>
      <c r="H13" s="8"/>
    </row>
    <row r="14" customFormat="false" ht="15" hidden="false" customHeight="false" outlineLevel="0" collapsed="false">
      <c r="A14" s="8" t="s">
        <v>73</v>
      </c>
      <c r="B14" s="9" t="s">
        <v>74</v>
      </c>
      <c r="C14" s="9" t="s">
        <v>75</v>
      </c>
      <c r="D14" s="9" t="s">
        <v>32</v>
      </c>
      <c r="E14" s="9" t="s">
        <v>76</v>
      </c>
      <c r="F14" s="9" t="s">
        <v>2</v>
      </c>
      <c r="G14" s="9" t="s">
        <v>77</v>
      </c>
      <c r="H14" s="8"/>
    </row>
    <row r="15" customFormat="false" ht="15" hidden="false" customHeight="false" outlineLevel="0" collapsed="false">
      <c r="A15" s="8" t="s">
        <v>73</v>
      </c>
      <c r="B15" s="9" t="s">
        <v>74</v>
      </c>
      <c r="C15" s="9" t="s">
        <v>78</v>
      </c>
      <c r="D15" s="9" t="s">
        <v>32</v>
      </c>
      <c r="E15" s="9" t="s">
        <v>76</v>
      </c>
      <c r="F15" s="9" t="s">
        <v>2</v>
      </c>
      <c r="G15" s="9" t="s">
        <v>77</v>
      </c>
      <c r="H15" s="8"/>
    </row>
    <row r="16" customFormat="false" ht="15" hidden="false" customHeight="false" outlineLevel="0" collapsed="false">
      <c r="A16" s="8" t="s">
        <v>79</v>
      </c>
      <c r="B16" s="9" t="s">
        <v>74</v>
      </c>
      <c r="C16" s="9" t="s">
        <v>80</v>
      </c>
      <c r="D16" s="9" t="s">
        <v>20</v>
      </c>
      <c r="E16" s="8" t="s">
        <v>81</v>
      </c>
      <c r="F16" s="9" t="s">
        <v>2</v>
      </c>
      <c r="G16" s="8" t="s">
        <v>82</v>
      </c>
      <c r="H16" s="8"/>
    </row>
  </sheetData>
  <conditionalFormatting sqref="F4:F16">
    <cfRule type="cellIs" priority="2" operator="equal" aboveAverage="0" equalAverage="0" bottom="0" percent="0" rank="0" text="" dxfId="0">
      <formula>"不合格"</formula>
    </cfRule>
    <cfRule type="cellIs" priority="3" operator="equal" aboveAverage="0" equalAverage="0" bottom="0" percent="0" rank="0" text="" dxfId="1">
      <formula>"要確認"</formula>
    </cfRule>
    <cfRule type="cellIs" priority="4" operator="equal" aboveAverage="0" equalAverage="0" bottom="0" percent="0" rank="0" text="" dxfId="2">
      <formula>"合格"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0" t="s">
        <v>9</v>
      </c>
      <c r="B1" s="10" t="s">
        <v>59</v>
      </c>
      <c r="C1" s="10" t="s">
        <v>12</v>
      </c>
      <c r="D1" s="10" t="s">
        <v>15</v>
      </c>
      <c r="E1" s="10" t="s">
        <v>83</v>
      </c>
    </row>
    <row r="2" customFormat="false" ht="15" hidden="false" customHeight="false" outlineLevel="0" collapsed="false">
      <c r="A2" s="3" t="s">
        <v>23</v>
      </c>
      <c r="B2" s="11" t="s">
        <v>24</v>
      </c>
      <c r="C2" s="11" t="s">
        <v>25</v>
      </c>
      <c r="D2" s="11" t="s">
        <v>27</v>
      </c>
      <c r="E2" s="11" t="s">
        <v>28</v>
      </c>
    </row>
    <row r="3" customFormat="false" ht="15" hidden="false" customHeight="false" outlineLevel="0" collapsed="false">
      <c r="A3" s="3" t="s">
        <v>29</v>
      </c>
      <c r="B3" s="11" t="s">
        <v>31</v>
      </c>
      <c r="C3" s="11" t="s">
        <v>32</v>
      </c>
      <c r="D3" s="11" t="s">
        <v>34</v>
      </c>
      <c r="E3" s="11" t="s">
        <v>35</v>
      </c>
    </row>
    <row r="4" customFormat="false" ht="15" hidden="false" customHeight="false" outlineLevel="0" collapsed="false">
      <c r="A4" s="3" t="s">
        <v>41</v>
      </c>
      <c r="B4" s="11" t="s">
        <v>42</v>
      </c>
      <c r="C4" s="11" t="s">
        <v>32</v>
      </c>
      <c r="D4" s="3" t="s">
        <v>44</v>
      </c>
      <c r="E4" s="3" t="s">
        <v>45</v>
      </c>
    </row>
    <row r="5" customFormat="false" ht="15" hidden="false" customHeight="false" outlineLevel="0" collapsed="false">
      <c r="A5" s="3" t="s">
        <v>46</v>
      </c>
      <c r="B5" s="11" t="s">
        <v>48</v>
      </c>
      <c r="C5" s="11" t="s">
        <v>32</v>
      </c>
      <c r="D5" s="11" t="s">
        <v>50</v>
      </c>
      <c r="E5" s="11" t="s">
        <v>51</v>
      </c>
    </row>
    <row r="6" customFormat="false" ht="15" hidden="false" customHeight="false" outlineLevel="0" collapsed="false">
      <c r="A6" s="3" t="s">
        <v>52</v>
      </c>
      <c r="B6" s="11" t="s">
        <v>53</v>
      </c>
      <c r="C6" s="11" t="s">
        <v>54</v>
      </c>
      <c r="D6" s="11" t="s">
        <v>56</v>
      </c>
      <c r="E6" s="11" t="s">
        <v>57</v>
      </c>
    </row>
    <row r="7" customFormat="false" ht="15" hidden="false" customHeight="false" outlineLevel="0" collapsed="false">
      <c r="A7" s="3" t="s">
        <v>58</v>
      </c>
      <c r="B7" s="11" t="s">
        <v>60</v>
      </c>
      <c r="C7" s="11" t="s">
        <v>32</v>
      </c>
      <c r="D7" s="11" t="s">
        <v>62</v>
      </c>
      <c r="E7" s="11" t="s">
        <v>63</v>
      </c>
    </row>
    <row r="8" customFormat="false" ht="15" hidden="false" customHeight="false" outlineLevel="0" collapsed="false">
      <c r="A8" s="3" t="s">
        <v>64</v>
      </c>
      <c r="B8" s="11" t="s">
        <v>65</v>
      </c>
      <c r="C8" s="11" t="s">
        <v>32</v>
      </c>
      <c r="D8" s="11" t="s">
        <v>67</v>
      </c>
      <c r="E8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2026-10-24T12:11:18Z</dcterms:created>
  <dc:creator>openpyxl</dc:creator>
  <dc:description/>
  <dc:language>en-US</dc:language>
  <cp:lastModifiedBy/>
  <dcterms:modified xsi:type="dcterms:W3CDTF">2026-10-24T12:11:18Z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