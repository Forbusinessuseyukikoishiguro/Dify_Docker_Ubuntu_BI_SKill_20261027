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" sheetId="1" state="visible" r:id="rId3"/>
    <sheet name="使い方" sheetId="2" state="visible" r:id="rId4"/>
    <sheet name="案件一覧" sheetId="3" state="visible" r:id="rId5"/>
    <sheet name="タスク" sheetId="4" state="visible" r:id="rId6"/>
    <sheet name="顧客窓口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<sst xmlns="http://schemas.openxmlformats.org/spreadsheetml/2006/main" count="203" uniqueCount="118">
  <si>
    <t xml:space="preserve">社別サマリ（自動集計）</t>
  </si>
  <si>
    <t xml:space="preserve">基準日</t>
  </si>
  <si>
    <t xml:space="preserve">社名</t>
  </si>
  <si>
    <t xml:space="preserve">案件</t>
  </si>
  <si>
    <t xml:space="preserve">案件の状態</t>
  </si>
  <si>
    <t xml:space="preserve">担当</t>
  </si>
  <si>
    <t xml:space="preserve">タスク数</t>
  </si>
  <si>
    <t xml:space="preserve">完了</t>
  </si>
  <si>
    <t xml:space="preserve">期限超過</t>
  </si>
  <si>
    <r>
      <rPr>
        <b val="true"/>
        <sz val="10"/>
        <color rgb="FFFFFFFF"/>
        <rFont val="Noto Sans CJK SC"/>
        <family val="2"/>
      </rPr>
      <t xml:space="preserve">直近（</t>
    </r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日以内）</t>
    </r>
  </si>
  <si>
    <t xml:space="preserve">完了率</t>
  </si>
  <si>
    <t xml:space="preserve">次の一手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</si>
  <si>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社（架空）</t>
    </r>
  </si>
  <si>
    <t xml:space="preserve">基幹システム改修</t>
  </si>
  <si>
    <t xml:space="preserve">進行中</t>
  </si>
  <si>
    <r>
      <rPr>
        <sz val="10"/>
        <rFont val="Noto Sans CJK SC"/>
        <family val="2"/>
      </rPr>
      <t xml:space="preserve">田中（</t>
    </r>
    <r>
      <rPr>
        <sz val="10"/>
        <rFont val="Arial"/>
        <family val="0"/>
        <charset val="1"/>
      </rPr>
      <t xml:space="preserve">PM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</si>
  <si>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承認フローの確認</t>
    </r>
    <r>
      <rPr>
        <sz val="10"/>
        <rFont val="Arial"/>
        <family val="0"/>
        <charset val="1"/>
      </rPr>
      <t xml:space="preserve">MTG</t>
    </r>
  </si>
  <si>
    <r>
      <rPr>
        <sz val="10"/>
        <rFont val="Arial"/>
        <family val="0"/>
        <charset val="1"/>
      </rPr>
      <t xml:space="preserve">B</t>
    </r>
    <r>
      <rPr>
        <sz val="10"/>
        <rFont val="Noto Sans CJK SC"/>
        <family val="2"/>
      </rPr>
      <t xml:space="preserve">社（架空）</t>
    </r>
  </si>
  <si>
    <r>
      <rPr>
        <sz val="10"/>
        <rFont val="Arial"/>
        <family val="0"/>
        <charset val="1"/>
      </rPr>
      <t xml:space="preserve">Web</t>
    </r>
    <r>
      <rPr>
        <sz val="10"/>
        <rFont val="Noto Sans CJK SC"/>
        <family val="2"/>
      </rPr>
      <t xml:space="preserve">サイト刷新</t>
    </r>
  </si>
  <si>
    <t xml:space="preserve">提案中</t>
  </si>
  <si>
    <t xml:space="preserve">佐藤（営業）</t>
  </si>
  <si>
    <t xml:space="preserve">見積書の提出</t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</si>
  <si>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社（架空）</t>
    </r>
  </si>
  <si>
    <t xml:space="preserve">データ分析基盤</t>
  </si>
  <si>
    <t xml:space="preserve">鈴木（分析）</t>
  </si>
  <si>
    <t xml:space="preserve">集計定義の合意</t>
  </si>
  <si>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社（架空）</t>
    </r>
  </si>
  <si>
    <t xml:space="preserve">社内ポータル改善</t>
  </si>
  <si>
    <t xml:space="preserve">保留</t>
  </si>
  <si>
    <t xml:space="preserve">高橋（開発）</t>
  </si>
  <si>
    <t xml:space="preserve">再開可否の確認</t>
  </si>
  <si>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社（架空）</t>
    </r>
  </si>
  <si>
    <t xml:space="preserve">研修カリキュラム制作</t>
  </si>
  <si>
    <t xml:space="preserve">完了間近</t>
  </si>
  <si>
    <t xml:space="preserve">伊藤（教材）</t>
  </si>
  <si>
    <t xml:space="preserve">最終レビューの依頼</t>
  </si>
  <si>
    <t xml:space="preserve">合計</t>
  </si>
  <si>
    <r>
      <rPr>
        <b val="true"/>
        <sz val="14"/>
        <color rgb="FF1F3864"/>
        <rFont val="Noto Sans CJK SC"/>
        <family val="2"/>
      </rPr>
      <t xml:space="preserve">案件タスク管理（</t>
    </r>
    <r>
      <rPr>
        <b val="true"/>
        <sz val="14"/>
        <color rgb="FF1F3864"/>
        <rFont val="Arial"/>
        <family val="0"/>
        <charset val="1"/>
      </rPr>
      <t xml:space="preserve">5</t>
    </r>
    <r>
      <rPr>
        <b val="true"/>
        <sz val="14"/>
        <color rgb="FF1F3864"/>
        <rFont val="Noto Sans CJK SC"/>
        <family val="2"/>
      </rPr>
      <t xml:space="preserve">社・サンプル）</t>
    </r>
  </si>
  <si>
    <t xml:space="preserve">・社名・人名・数値はすべて架空です。</t>
  </si>
  <si>
    <t xml:space="preserve">・「サマリ」の基準日を変えると、残日数と判定が更新されます。</t>
  </si>
  <si>
    <t xml:space="preserve">・黄色のセルに入力します（状態は一覧から選択）。</t>
  </si>
  <si>
    <r>
      <rPr>
        <sz val="10"/>
        <rFont val="Noto Sans CJK SC"/>
        <family val="2"/>
      </rPr>
      <t xml:space="preserve">・期限超過＝期限が基準日より前で、状態が完了以外。直近＝残り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日以内。</t>
    </r>
  </si>
  <si>
    <r>
      <rPr>
        <sz val="10"/>
        <rFont val="Noto Sans CJK SC"/>
        <family val="2"/>
      </rPr>
      <t xml:space="preserve">・シート：サマリ（社別の集計）、案件一覧（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社）、タスク（全件）、顧客窓口（役割のみ）。</t>
    </r>
  </si>
  <si>
    <t xml:space="preserve">・個人の連絡先は入れていません（窓口は役割で書く）。</t>
  </si>
  <si>
    <t xml:space="preserve">状態</t>
  </si>
  <si>
    <t xml:space="preserve">担当（役割）</t>
  </si>
  <si>
    <t xml:space="preserve">次の期限</t>
  </si>
  <si>
    <t xml:space="preserve">2026-10-28</t>
  </si>
  <si>
    <t xml:space="preserve">2026-10-30</t>
  </si>
  <si>
    <t xml:space="preserve">2026-11-05</t>
  </si>
  <si>
    <t xml:space="preserve">2026-11-12</t>
  </si>
  <si>
    <t xml:space="preserve">2026-10-26</t>
  </si>
  <si>
    <t xml:space="preserve">ID</t>
  </si>
  <si>
    <t xml:space="preserve">タスク</t>
  </si>
  <si>
    <t xml:space="preserve">期限</t>
  </si>
  <si>
    <t xml:space="preserve">優先度</t>
  </si>
  <si>
    <t xml:space="preserve">残日数</t>
  </si>
  <si>
    <t xml:space="preserve">判定</t>
  </si>
  <si>
    <t xml:space="preserve">出典・備考</t>
  </si>
  <si>
    <t xml:space="preserve">T-001</t>
  </si>
  <si>
    <t xml:space="preserve">承認者の一覧を確認</t>
  </si>
  <si>
    <t xml:space="preserve">高</t>
  </si>
  <si>
    <t xml:space="preserve">T-002</t>
  </si>
  <si>
    <t xml:space="preserve">承認段階案の資料を仕上げる</t>
  </si>
  <si>
    <t xml:space="preserve">佐藤（業務）</t>
  </si>
  <si>
    <t xml:space="preserve">T-003</t>
  </si>
  <si>
    <t xml:space="preserve">金額区分の上限値を確認</t>
  </si>
  <si>
    <t xml:space="preserve">要確認</t>
  </si>
  <si>
    <t xml:space="preserve">未着手</t>
  </si>
  <si>
    <t xml:space="preserve">写真メモ（数字要確認）</t>
  </si>
  <si>
    <t xml:space="preserve">T-004</t>
  </si>
  <si>
    <t xml:space="preserve">テストケースを作る</t>
  </si>
  <si>
    <r>
      <rPr>
        <sz val="10"/>
        <rFont val="Noto Sans CJK SC"/>
        <family val="2"/>
      </rPr>
      <t xml:space="preserve">鈴木（</t>
    </r>
    <r>
      <rPr>
        <sz val="10"/>
        <rFont val="Arial"/>
        <family val="0"/>
        <charset val="1"/>
      </rPr>
      <t xml:space="preserve">QA</t>
    </r>
    <r>
      <rPr>
        <sz val="10"/>
        <rFont val="Noto Sans CJK SC"/>
        <family val="2"/>
      </rPr>
      <t xml:space="preserve">）</t>
    </r>
  </si>
  <si>
    <t xml:space="preserve">中</t>
  </si>
  <si>
    <t xml:space="preserve">T-005</t>
  </si>
  <si>
    <t xml:space="preserve">見積書のドラフトを作る</t>
  </si>
  <si>
    <t xml:space="preserve">T-006</t>
  </si>
  <si>
    <t xml:space="preserve">要件の聞き取りを予約する</t>
  </si>
  <si>
    <t xml:space="preserve">日程は未確定</t>
  </si>
  <si>
    <t xml:space="preserve">T-007</t>
  </si>
  <si>
    <t xml:space="preserve">集計の定義（売上の扱い）を合意</t>
  </si>
  <si>
    <t xml:space="preserve">T-008</t>
  </si>
  <si>
    <t xml:space="preserve">データの取り込み方法を決める</t>
  </si>
  <si>
    <t xml:space="preserve">T-009</t>
  </si>
  <si>
    <t xml:space="preserve">再開の可否を確認</t>
  </si>
  <si>
    <t xml:space="preserve">低</t>
  </si>
  <si>
    <t xml:space="preserve">経営判断待ち</t>
  </si>
  <si>
    <t xml:space="preserve">T-010</t>
  </si>
  <si>
    <t xml:space="preserve">最終レビューを依頼</t>
  </si>
  <si>
    <t xml:space="preserve">T-011</t>
  </si>
  <si>
    <t xml:space="preserve">誤字・表記の最終チェック</t>
  </si>
  <si>
    <t xml:space="preserve">担当未定</t>
  </si>
  <si>
    <t xml:space="preserve">T-012</t>
  </si>
  <si>
    <t xml:space="preserve">納品物の送付</t>
  </si>
  <si>
    <t xml:space="preserve">窓口（役割）</t>
  </si>
  <si>
    <t xml:space="preserve">社内の担当（役割）</t>
  </si>
  <si>
    <r>
      <rPr>
        <b val="true"/>
        <sz val="10"/>
        <color rgb="FFFFFFFF"/>
        <rFont val="Noto Sans CJK SC"/>
        <family val="2"/>
      </rPr>
      <t xml:space="preserve">次回</t>
    </r>
    <r>
      <rPr>
        <b val="true"/>
        <sz val="10"/>
        <color rgb="FFFFFFFF"/>
        <rFont val="Arial"/>
        <family val="0"/>
        <charset val="1"/>
      </rPr>
      <t xml:space="preserve">MTG</t>
    </r>
  </si>
  <si>
    <t xml:space="preserve">連絡の方法</t>
  </si>
  <si>
    <t xml:space="preserve">注意</t>
  </si>
  <si>
    <t xml:space="preserve">情報システム部の担当者</t>
  </si>
  <si>
    <t xml:space="preserve">PM</t>
  </si>
  <si>
    <r>
      <rPr>
        <sz val="10"/>
        <rFont val="Arial"/>
        <family val="0"/>
        <charset val="1"/>
      </rPr>
      <t xml:space="preserve">10/28 10:00</t>
    </r>
    <r>
      <rPr>
        <sz val="10"/>
        <rFont val="Noto Sans CJK SC"/>
        <family val="2"/>
      </rPr>
      <t xml:space="preserve">（オンライン）</t>
    </r>
  </si>
  <si>
    <t xml:space="preserve">社内規程の連絡手段</t>
  </si>
  <si>
    <t xml:space="preserve">承認段階の方針に決裁あり</t>
  </si>
  <si>
    <t xml:space="preserve">総務の担当者</t>
  </si>
  <si>
    <t xml:space="preserve">営業</t>
  </si>
  <si>
    <t xml:space="preserve">未定</t>
  </si>
  <si>
    <t xml:space="preserve">見積の条件を確認中</t>
  </si>
  <si>
    <t xml:space="preserve">経営企画の担当者</t>
  </si>
  <si>
    <t xml:space="preserve">分析</t>
  </si>
  <si>
    <r>
      <rPr>
        <sz val="10"/>
        <rFont val="Arial"/>
        <family val="0"/>
        <charset val="1"/>
      </rPr>
      <t xml:space="preserve">11/04</t>
    </r>
    <r>
      <rPr>
        <sz val="10"/>
        <rFont val="Noto Sans CJK SC"/>
        <family val="2"/>
      </rPr>
      <t xml:space="preserve">（対面）</t>
    </r>
  </si>
  <si>
    <t xml:space="preserve">集計の定義は書面で残す</t>
  </si>
  <si>
    <t xml:space="preserve">開発</t>
  </si>
  <si>
    <t xml:space="preserve">再開は経営判断</t>
  </si>
  <si>
    <t xml:space="preserve">教育担当の担当者</t>
  </si>
  <si>
    <t xml:space="preserve">教材</t>
  </si>
  <si>
    <r>
      <rPr>
        <sz val="10"/>
        <rFont val="Arial"/>
        <family val="0"/>
        <charset val="1"/>
      </rPr>
      <t xml:space="preserve">10/26</t>
    </r>
    <r>
      <rPr>
        <sz val="10"/>
        <rFont val="Noto Sans CJK SC"/>
        <family val="2"/>
      </rPr>
      <t xml:space="preserve">（オンライン）</t>
    </r>
  </si>
  <si>
    <t xml:space="preserve">納品形式を確認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</si>
</sst>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m/dd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Noto Sans CJK SC"/>
      <family val="2"/>
    </font>
    <font>
      <b val="true"/>
      <sz val="10"/>
      <name val="Noto Sans CJK SC"/>
      <family val="2"/>
    </font>
    <font>
      <sz val="10"/>
      <color rgb="FF0000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4"/>
      <color rgb="FF1F3864"/>
      <name val="Noto Sans CJK SC"/>
      <family val="2"/>
    </font>
    <font>
      <b val="true"/>
      <sz val="14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b val="1"/>
        <color rgb="FFC55A1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n">
        <v>46319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5" t="s">
        <v>12</v>
      </c>
      <c r="B5" s="6" t="s">
        <v>13</v>
      </c>
      <c r="C5" s="6" t="s">
        <v>14</v>
      </c>
      <c r="D5" s="6" t="s">
        <v>15</v>
      </c>
      <c r="E5" s="5" t="n">
        <f aca="false">COUNTIF(タスク!$B$2:$B$200,A5)</f>
        <v>4</v>
      </c>
      <c r="F5" s="5" t="n">
        <f aca="false">COUNTIFS(タスク!$B$2:$B$200,A5,タスク!$G$2:$G$200,"完了")</f>
        <v>1</v>
      </c>
      <c r="G5" s="5" t="n">
        <f aca="false">COUNTIFS(タスク!$B$2:$B$200,A5,タスク!$I$2:$I$200,"期限超過")</f>
        <v>0</v>
      </c>
      <c r="H5" s="5" t="n">
        <f aca="false">COUNTIFS(タスク!$B$2:$B$200,A5,タスク!$I$2:$I$200,"直近")</f>
        <v>2</v>
      </c>
      <c r="I5" s="7" t="n">
        <f aca="false">IFERROR(F5/E5,0)</f>
        <v>0.25</v>
      </c>
      <c r="J5" s="6" t="s">
        <v>16</v>
      </c>
    </row>
    <row r="6" customFormat="false" ht="15" hidden="false" customHeight="false" outlineLevel="0" collapsed="false">
      <c r="A6" s="5" t="s">
        <v>17</v>
      </c>
      <c r="B6" s="5" t="s">
        <v>18</v>
      </c>
      <c r="C6" s="6" t="s">
        <v>19</v>
      </c>
      <c r="D6" s="6" t="s">
        <v>20</v>
      </c>
      <c r="E6" s="5" t="n">
        <f aca="false">COUNTIF(タスク!$B$2:$B$200,A6)</f>
        <v>2</v>
      </c>
      <c r="F6" s="5" t="n">
        <f aca="false">COUNTIFS(タスク!$B$2:$B$200,A6,タスク!$G$2:$G$200,"完了")</f>
        <v>0</v>
      </c>
      <c r="G6" s="5" t="n">
        <f aca="false">COUNTIFS(タスク!$B$2:$B$200,A6,タスク!$I$2:$I$200,"期限超過")</f>
        <v>1</v>
      </c>
      <c r="H6" s="5" t="n">
        <f aca="false">COUNTIFS(タスク!$B$2:$B$200,A6,タスク!$I$2:$I$200,"直近")</f>
        <v>0</v>
      </c>
      <c r="I6" s="7" t="n">
        <f aca="false">IFERROR(F6/E6,0)</f>
        <v>0</v>
      </c>
      <c r="J6" s="6" t="s">
        <v>21</v>
      </c>
    </row>
    <row r="7" customFormat="false" ht="15" hidden="false" customHeight="false" outlineLevel="0" collapsed="false">
      <c r="A7" s="5" t="s">
        <v>22</v>
      </c>
      <c r="B7" s="6" t="s">
        <v>23</v>
      </c>
      <c r="C7" s="6" t="s">
        <v>14</v>
      </c>
      <c r="D7" s="6" t="s">
        <v>24</v>
      </c>
      <c r="E7" s="5" t="n">
        <f aca="false">COUNTIF(タスク!$B$2:$B$200,A7)</f>
        <v>2</v>
      </c>
      <c r="F7" s="5" t="n">
        <f aca="false">COUNTIFS(タスク!$B$2:$B$200,A7,タスク!$G$2:$G$200,"完了")</f>
        <v>0</v>
      </c>
      <c r="G7" s="5" t="n">
        <f aca="false">COUNTIFS(タスク!$B$2:$B$200,A7,タスク!$I$2:$I$200,"期限超過")</f>
        <v>0</v>
      </c>
      <c r="H7" s="5" t="n">
        <f aca="false">COUNTIFS(タスク!$B$2:$B$200,A7,タスク!$I$2:$I$200,"直近")</f>
        <v>1</v>
      </c>
      <c r="I7" s="7" t="n">
        <f aca="false">IFERROR(F7/E7,0)</f>
        <v>0</v>
      </c>
      <c r="J7" s="6" t="s">
        <v>25</v>
      </c>
    </row>
    <row r="8" customFormat="false" ht="15" hidden="false" customHeight="false" outlineLevel="0" collapsed="false">
      <c r="A8" s="5" t="s">
        <v>26</v>
      </c>
      <c r="B8" s="6" t="s">
        <v>27</v>
      </c>
      <c r="C8" s="6" t="s">
        <v>28</v>
      </c>
      <c r="D8" s="6" t="s">
        <v>29</v>
      </c>
      <c r="E8" s="5" t="n">
        <f aca="false">COUNTIF(タスク!$B$2:$B$200,A8)</f>
        <v>1</v>
      </c>
      <c r="F8" s="5" t="n">
        <f aca="false">COUNTIFS(タスク!$B$2:$B$200,A8,タスク!$G$2:$G$200,"完了")</f>
        <v>0</v>
      </c>
      <c r="G8" s="5" t="n">
        <f aca="false">COUNTIFS(タスク!$B$2:$B$200,A8,タスク!$I$2:$I$200,"期限超過")</f>
        <v>0</v>
      </c>
      <c r="H8" s="5" t="n">
        <f aca="false">COUNTIFS(タスク!$B$2:$B$200,A8,タスク!$I$2:$I$200,"直近")</f>
        <v>0</v>
      </c>
      <c r="I8" s="7" t="n">
        <f aca="false">IFERROR(F8/E8,0)</f>
        <v>0</v>
      </c>
      <c r="J8" s="6" t="s">
        <v>30</v>
      </c>
    </row>
    <row r="9" customFormat="false" ht="15" hidden="false" customHeight="false" outlineLevel="0" collapsed="false">
      <c r="A9" s="5" t="s">
        <v>31</v>
      </c>
      <c r="B9" s="6" t="s">
        <v>32</v>
      </c>
      <c r="C9" s="6" t="s">
        <v>33</v>
      </c>
      <c r="D9" s="6" t="s">
        <v>34</v>
      </c>
      <c r="E9" s="5" t="n">
        <f aca="false">COUNTIF(タスク!$B$2:$B$200,A9)</f>
        <v>3</v>
      </c>
      <c r="F9" s="5" t="n">
        <f aca="false">COUNTIFS(タスク!$B$2:$B$200,A9,タスク!$G$2:$G$200,"完了")</f>
        <v>0</v>
      </c>
      <c r="G9" s="5" t="n">
        <f aca="false">COUNTIFS(タスク!$B$2:$B$200,A9,タスク!$I$2:$I$200,"期限超過")</f>
        <v>0</v>
      </c>
      <c r="H9" s="5" t="n">
        <f aca="false">COUNTIFS(タスク!$B$2:$B$200,A9,タスク!$I$2:$I$200,"直近")</f>
        <v>2</v>
      </c>
      <c r="I9" s="7" t="n">
        <f aca="false">IFERROR(F9/E9,0)</f>
        <v>0</v>
      </c>
      <c r="J9" s="6" t="s">
        <v>35</v>
      </c>
    </row>
    <row r="10" customFormat="false" ht="15" hidden="false" customHeight="false" outlineLevel="0" collapsed="false">
      <c r="A10" s="2" t="s">
        <v>36</v>
      </c>
      <c r="E10" s="2" t="n">
        <f aca="false">SUM(E5:E9)</f>
        <v>12</v>
      </c>
      <c r="F10" s="2" t="n">
        <f aca="false">SUM(F5:F9)</f>
        <v>1</v>
      </c>
      <c r="G10" s="2" t="n">
        <f aca="false">SUM(G5:G9)</f>
        <v>1</v>
      </c>
      <c r="H10" s="2" t="n">
        <f aca="false">SUM(H5:H9)</f>
        <v>5</v>
      </c>
      <c r="I10" s="8" t="n">
        <f aca="false">IFERROR(F10/E10,0)</f>
        <v>0.0833333333333333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21.6" hidden="false" customHeight="false" outlineLevel="0" collapsed="false">
      <c r="A1" s="9" t="s">
        <v>37</v>
      </c>
    </row>
    <row r="3" customFormat="false" ht="15" hidden="false" customHeight="false" outlineLevel="0" collapsed="false">
      <c r="A3" s="10" t="s">
        <v>38</v>
      </c>
    </row>
    <row r="4" customFormat="false" ht="15" hidden="false" customHeight="false" outlineLevel="0" collapsed="false">
      <c r="A4" s="10" t="s">
        <v>39</v>
      </c>
    </row>
    <row r="5" customFormat="false" ht="15" hidden="false" customHeight="false" outlineLevel="0" collapsed="false">
      <c r="A5" s="10" t="s">
        <v>40</v>
      </c>
    </row>
    <row r="6" customFormat="false" ht="15" hidden="false" customHeight="false" outlineLevel="0" collapsed="false">
      <c r="A6" s="10" t="s">
        <v>41</v>
      </c>
    </row>
    <row r="7" customFormat="false" ht="15" hidden="false" customHeight="false" outlineLevel="0" collapsed="false">
      <c r="A7" s="10" t="s">
        <v>42</v>
      </c>
    </row>
    <row r="8" customFormat="false" ht="15" hidden="false" customHeight="false" outlineLevel="0" collapsed="false">
      <c r="A8" s="10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4" t="s">
        <v>2</v>
      </c>
      <c r="B1" s="4" t="s">
        <v>3</v>
      </c>
      <c r="C1" s="4" t="s">
        <v>44</v>
      </c>
      <c r="D1" s="4" t="s">
        <v>45</v>
      </c>
      <c r="E1" s="4" t="s">
        <v>46</v>
      </c>
      <c r="F1" s="4" t="s">
        <v>11</v>
      </c>
    </row>
    <row r="2" customFormat="false" ht="15" hidden="false" customHeight="false" outlineLevel="0" collapsed="false">
      <c r="A2" s="5" t="s">
        <v>12</v>
      </c>
      <c r="B2" s="6" t="s">
        <v>13</v>
      </c>
      <c r="C2" s="6" t="s">
        <v>14</v>
      </c>
      <c r="D2" s="6" t="s">
        <v>15</v>
      </c>
      <c r="E2" s="5" t="s">
        <v>47</v>
      </c>
      <c r="F2" s="6" t="s">
        <v>16</v>
      </c>
    </row>
    <row r="3" customFormat="false" ht="15" hidden="false" customHeight="false" outlineLevel="0" collapsed="false">
      <c r="A3" s="5" t="s">
        <v>17</v>
      </c>
      <c r="B3" s="5" t="s">
        <v>18</v>
      </c>
      <c r="C3" s="6" t="s">
        <v>19</v>
      </c>
      <c r="D3" s="6" t="s">
        <v>20</v>
      </c>
      <c r="E3" s="5" t="s">
        <v>48</v>
      </c>
      <c r="F3" s="6" t="s">
        <v>21</v>
      </c>
    </row>
    <row r="4" customFormat="false" ht="15" hidden="false" customHeight="false" outlineLevel="0" collapsed="false">
      <c r="A4" s="5" t="s">
        <v>22</v>
      </c>
      <c r="B4" s="6" t="s">
        <v>23</v>
      </c>
      <c r="C4" s="6" t="s">
        <v>14</v>
      </c>
      <c r="D4" s="6" t="s">
        <v>24</v>
      </c>
      <c r="E4" s="5" t="s">
        <v>49</v>
      </c>
      <c r="F4" s="6" t="s">
        <v>25</v>
      </c>
    </row>
    <row r="5" customFormat="false" ht="15" hidden="false" customHeight="false" outlineLevel="0" collapsed="false">
      <c r="A5" s="5" t="s">
        <v>26</v>
      </c>
      <c r="B5" s="6" t="s">
        <v>27</v>
      </c>
      <c r="C5" s="6" t="s">
        <v>28</v>
      </c>
      <c r="D5" s="6" t="s">
        <v>29</v>
      </c>
      <c r="E5" s="5" t="s">
        <v>50</v>
      </c>
      <c r="F5" s="6" t="s">
        <v>30</v>
      </c>
    </row>
    <row r="6" customFormat="false" ht="15" hidden="false" customHeight="false" outlineLevel="0" collapsed="false">
      <c r="A6" s="5" t="s">
        <v>31</v>
      </c>
      <c r="B6" s="6" t="s">
        <v>32</v>
      </c>
      <c r="C6" s="6" t="s">
        <v>33</v>
      </c>
      <c r="D6" s="6" t="s">
        <v>34</v>
      </c>
      <c r="E6" s="5" t="s">
        <v>51</v>
      </c>
      <c r="F6" s="6" t="s">
        <v>35</v>
      </c>
    </row>
  </sheetData>
  <dataValidations count="1">
    <dataValidation allowBlank="true" errorStyle="stop" operator="between" showDropDown="false" showErrorMessage="false" showInputMessage="false" sqref="C2:C50" type="list">
      <formula1>"提案中,進行中,完了間近,保留,完了"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9" min="7" style="0" width="10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1" t="s">
        <v>52</v>
      </c>
      <c r="B1" s="4" t="s">
        <v>2</v>
      </c>
      <c r="C1" s="4" t="s">
        <v>53</v>
      </c>
      <c r="D1" s="4" t="s">
        <v>5</v>
      </c>
      <c r="E1" s="4" t="s">
        <v>54</v>
      </c>
      <c r="F1" s="4" t="s">
        <v>55</v>
      </c>
      <c r="G1" s="4" t="s">
        <v>44</v>
      </c>
      <c r="H1" s="4" t="s">
        <v>56</v>
      </c>
      <c r="I1" s="4" t="s">
        <v>57</v>
      </c>
      <c r="J1" s="4" t="s">
        <v>58</v>
      </c>
    </row>
    <row r="2" customFormat="false" ht="15" hidden="false" customHeight="false" outlineLevel="0" collapsed="false">
      <c r="A2" s="12" t="s">
        <v>59</v>
      </c>
      <c r="B2" s="5" t="s">
        <v>12</v>
      </c>
      <c r="C2" s="6" t="s">
        <v>60</v>
      </c>
      <c r="D2" s="6" t="s">
        <v>15</v>
      </c>
      <c r="E2" s="13" t="n">
        <v>46322</v>
      </c>
      <c r="F2" s="14" t="s">
        <v>61</v>
      </c>
      <c r="G2" s="14" t="s">
        <v>7</v>
      </c>
      <c r="H2" s="5" t="n">
        <f aca="false">IF(E2="","",E2-サマリ!$B$2)</f>
        <v>3</v>
      </c>
      <c r="I2" s="5" t="str">
        <f aca="false">IF(OR(G2="完了",E2=""),"",IF(H2&lt;0,"期限超過",IF(H2&lt;=3,"直近","")))</f>
        <v/>
      </c>
      <c r="J2" s="12"/>
    </row>
    <row r="3" customFormat="false" ht="15" hidden="false" customHeight="false" outlineLevel="0" collapsed="false">
      <c r="A3" s="12" t="s">
        <v>62</v>
      </c>
      <c r="B3" s="5" t="s">
        <v>12</v>
      </c>
      <c r="C3" s="6" t="s">
        <v>63</v>
      </c>
      <c r="D3" s="6" t="s">
        <v>64</v>
      </c>
      <c r="E3" s="13" t="n">
        <v>46321</v>
      </c>
      <c r="F3" s="14" t="s">
        <v>61</v>
      </c>
      <c r="G3" s="14" t="s">
        <v>14</v>
      </c>
      <c r="H3" s="5" t="n">
        <f aca="false">IF(E3="","",E3-サマリ!$B$2)</f>
        <v>2</v>
      </c>
      <c r="I3" s="5" t="str">
        <f aca="false">IF(OR(G3="完了",E3=""),"",IF(H3&lt;0,"期限超過",IF(H3&lt;=3,"直近","")))</f>
        <v>直近</v>
      </c>
      <c r="J3" s="12"/>
    </row>
    <row r="4" customFormat="false" ht="15" hidden="false" customHeight="false" outlineLevel="0" collapsed="false">
      <c r="A4" s="12" t="s">
        <v>65</v>
      </c>
      <c r="B4" s="5" t="s">
        <v>12</v>
      </c>
      <c r="C4" s="6" t="s">
        <v>66</v>
      </c>
      <c r="D4" s="6" t="s">
        <v>67</v>
      </c>
      <c r="E4" s="13" t="n">
        <v>46320</v>
      </c>
      <c r="F4" s="14" t="s">
        <v>61</v>
      </c>
      <c r="G4" s="14" t="s">
        <v>68</v>
      </c>
      <c r="H4" s="5" t="n">
        <f aca="false">IF(E4="","",E4-サマリ!$B$2)</f>
        <v>1</v>
      </c>
      <c r="I4" s="5" t="str">
        <f aca="false">IF(OR(G4="完了",E4=""),"",IF(H4&lt;0,"期限超過",IF(H4&lt;=3,"直近","")))</f>
        <v>直近</v>
      </c>
      <c r="J4" s="14" t="s">
        <v>69</v>
      </c>
    </row>
    <row r="5" customFormat="false" ht="15" hidden="false" customHeight="false" outlineLevel="0" collapsed="false">
      <c r="A5" s="12" t="s">
        <v>70</v>
      </c>
      <c r="B5" s="5" t="s">
        <v>12</v>
      </c>
      <c r="C5" s="6" t="s">
        <v>71</v>
      </c>
      <c r="D5" s="6" t="s">
        <v>72</v>
      </c>
      <c r="E5" s="13" t="n">
        <v>46329</v>
      </c>
      <c r="F5" s="14" t="s">
        <v>73</v>
      </c>
      <c r="G5" s="14" t="s">
        <v>68</v>
      </c>
      <c r="H5" s="5" t="n">
        <f aca="false">IF(E5="","",E5-サマリ!$B$2)</f>
        <v>10</v>
      </c>
      <c r="I5" s="5" t="str">
        <f aca="false">IF(OR(G5="完了",E5=""),"",IF(H5&lt;0,"期限超過",IF(H5&lt;=3,"直近","")))</f>
        <v/>
      </c>
      <c r="J5" s="12"/>
    </row>
    <row r="6" customFormat="false" ht="15" hidden="false" customHeight="false" outlineLevel="0" collapsed="false">
      <c r="A6" s="12" t="s">
        <v>74</v>
      </c>
      <c r="B6" s="5" t="s">
        <v>17</v>
      </c>
      <c r="C6" s="6" t="s">
        <v>75</v>
      </c>
      <c r="D6" s="6" t="s">
        <v>20</v>
      </c>
      <c r="E6" s="13" t="n">
        <v>46324</v>
      </c>
      <c r="F6" s="14" t="s">
        <v>61</v>
      </c>
      <c r="G6" s="14" t="s">
        <v>14</v>
      </c>
      <c r="H6" s="5" t="n">
        <f aca="false">IF(E6="","",E6-サマリ!$B$2)</f>
        <v>5</v>
      </c>
      <c r="I6" s="5" t="str">
        <f aca="false">IF(OR(G6="完了",E6=""),"",IF(H6&lt;0,"期限超過",IF(H6&lt;=3,"直近","")))</f>
        <v/>
      </c>
      <c r="J6" s="12"/>
    </row>
    <row r="7" customFormat="false" ht="15" hidden="false" customHeight="false" outlineLevel="0" collapsed="false">
      <c r="A7" s="12" t="s">
        <v>76</v>
      </c>
      <c r="B7" s="5" t="s">
        <v>17</v>
      </c>
      <c r="C7" s="6" t="s">
        <v>77</v>
      </c>
      <c r="D7" s="6" t="s">
        <v>20</v>
      </c>
      <c r="E7" s="13" t="n">
        <v>46318</v>
      </c>
      <c r="F7" s="14" t="s">
        <v>73</v>
      </c>
      <c r="G7" s="14" t="s">
        <v>68</v>
      </c>
      <c r="H7" s="5" t="n">
        <f aca="false">IF(E7="","",E7-サマリ!$B$2)</f>
        <v>-1</v>
      </c>
      <c r="I7" s="5" t="str">
        <f aca="false">IF(OR(G7="完了",E7=""),"",IF(H7&lt;0,"期限超過",IF(H7&lt;=3,"直近","")))</f>
        <v>期限超過</v>
      </c>
      <c r="J7" s="14" t="s">
        <v>78</v>
      </c>
    </row>
    <row r="8" customFormat="false" ht="15" hidden="false" customHeight="false" outlineLevel="0" collapsed="false">
      <c r="A8" s="12" t="s">
        <v>79</v>
      </c>
      <c r="B8" s="5" t="s">
        <v>22</v>
      </c>
      <c r="C8" s="6" t="s">
        <v>80</v>
      </c>
      <c r="D8" s="6" t="s">
        <v>24</v>
      </c>
      <c r="E8" s="13" t="n">
        <v>46319</v>
      </c>
      <c r="F8" s="14" t="s">
        <v>61</v>
      </c>
      <c r="G8" s="14" t="s">
        <v>14</v>
      </c>
      <c r="H8" s="5" t="n">
        <f aca="false">IF(E8="","",E8-サマリ!$B$2)</f>
        <v>0</v>
      </c>
      <c r="I8" s="5" t="str">
        <f aca="false">IF(OR(G8="完了",E8=""),"",IF(H8&lt;0,"期限超過",IF(H8&lt;=3,"直近","")))</f>
        <v>直近</v>
      </c>
      <c r="J8" s="12"/>
    </row>
    <row r="9" customFormat="false" ht="15" hidden="false" customHeight="false" outlineLevel="0" collapsed="false">
      <c r="A9" s="12" t="s">
        <v>81</v>
      </c>
      <c r="B9" s="5" t="s">
        <v>22</v>
      </c>
      <c r="C9" s="6" t="s">
        <v>82</v>
      </c>
      <c r="D9" s="6" t="s">
        <v>29</v>
      </c>
      <c r="E9" s="13" t="n">
        <v>46332</v>
      </c>
      <c r="F9" s="14" t="s">
        <v>73</v>
      </c>
      <c r="G9" s="14" t="s">
        <v>68</v>
      </c>
      <c r="H9" s="5" t="n">
        <f aca="false">IF(E9="","",E9-サマリ!$B$2)</f>
        <v>13</v>
      </c>
      <c r="I9" s="5" t="str">
        <f aca="false">IF(OR(G9="完了",E9=""),"",IF(H9&lt;0,"期限超過",IF(H9&lt;=3,"直近","")))</f>
        <v/>
      </c>
      <c r="J9" s="12"/>
    </row>
    <row r="10" customFormat="false" ht="15" hidden="false" customHeight="false" outlineLevel="0" collapsed="false">
      <c r="A10" s="12" t="s">
        <v>83</v>
      </c>
      <c r="B10" s="5" t="s">
        <v>26</v>
      </c>
      <c r="C10" s="6" t="s">
        <v>84</v>
      </c>
      <c r="D10" s="6" t="s">
        <v>29</v>
      </c>
      <c r="E10" s="13" t="n">
        <v>46338</v>
      </c>
      <c r="F10" s="14" t="s">
        <v>85</v>
      </c>
      <c r="G10" s="14" t="s">
        <v>28</v>
      </c>
      <c r="H10" s="5" t="n">
        <f aca="false">IF(E10="","",E10-サマリ!$B$2)</f>
        <v>19</v>
      </c>
      <c r="I10" s="5" t="str">
        <f aca="false">IF(OR(G10="完了",E10=""),"",IF(H10&lt;0,"期限超過",IF(H10&lt;=3,"直近","")))</f>
        <v/>
      </c>
      <c r="J10" s="14" t="s">
        <v>86</v>
      </c>
    </row>
    <row r="11" customFormat="false" ht="15" hidden="false" customHeight="false" outlineLevel="0" collapsed="false">
      <c r="A11" s="12" t="s">
        <v>87</v>
      </c>
      <c r="B11" s="5" t="s">
        <v>31</v>
      </c>
      <c r="C11" s="6" t="s">
        <v>88</v>
      </c>
      <c r="D11" s="6" t="s">
        <v>34</v>
      </c>
      <c r="E11" s="13" t="n">
        <v>46321</v>
      </c>
      <c r="F11" s="14" t="s">
        <v>61</v>
      </c>
      <c r="G11" s="14" t="s">
        <v>14</v>
      </c>
      <c r="H11" s="5" t="n">
        <f aca="false">IF(E11="","",E11-サマリ!$B$2)</f>
        <v>2</v>
      </c>
      <c r="I11" s="5" t="str">
        <f aca="false">IF(OR(G11="完了",E11=""),"",IF(H11&lt;0,"期限超過",IF(H11&lt;=3,"直近","")))</f>
        <v>直近</v>
      </c>
      <c r="J11" s="12"/>
    </row>
    <row r="12" customFormat="false" ht="15" hidden="false" customHeight="false" outlineLevel="0" collapsed="false">
      <c r="A12" s="12" t="s">
        <v>89</v>
      </c>
      <c r="B12" s="5" t="s">
        <v>31</v>
      </c>
      <c r="C12" s="6" t="s">
        <v>90</v>
      </c>
      <c r="D12" s="6" t="s">
        <v>67</v>
      </c>
      <c r="E12" s="13" t="n">
        <v>46322</v>
      </c>
      <c r="F12" s="14" t="s">
        <v>73</v>
      </c>
      <c r="G12" s="14" t="s">
        <v>68</v>
      </c>
      <c r="H12" s="5" t="n">
        <f aca="false">IF(E12="","",E12-サマリ!$B$2)</f>
        <v>3</v>
      </c>
      <c r="I12" s="5" t="str">
        <f aca="false">IF(OR(G12="完了",E12=""),"",IF(H12&lt;0,"期限超過",IF(H12&lt;=3,"直近","")))</f>
        <v>直近</v>
      </c>
      <c r="J12" s="14" t="s">
        <v>91</v>
      </c>
    </row>
    <row r="13" customFormat="false" ht="15" hidden="false" customHeight="false" outlineLevel="0" collapsed="false">
      <c r="A13" s="12" t="s">
        <v>92</v>
      </c>
      <c r="B13" s="5" t="s">
        <v>31</v>
      </c>
      <c r="C13" s="6" t="s">
        <v>93</v>
      </c>
      <c r="D13" s="6" t="s">
        <v>34</v>
      </c>
      <c r="E13" s="13" t="n">
        <v>46325</v>
      </c>
      <c r="F13" s="14" t="s">
        <v>73</v>
      </c>
      <c r="G13" s="14" t="s">
        <v>68</v>
      </c>
      <c r="H13" s="5" t="n">
        <f aca="false">IF(E13="","",E13-サマリ!$B$2)</f>
        <v>6</v>
      </c>
      <c r="I13" s="5" t="str">
        <f aca="false">IF(OR(G13="完了",E13=""),"",IF(H13&lt;0,"期限超過",IF(H13&lt;=3,"直近","")))</f>
        <v/>
      </c>
      <c r="J13" s="12"/>
    </row>
  </sheetData>
  <conditionalFormatting sqref="I2:I13">
    <cfRule type="expression" priority="2" aboveAverage="0" equalAverage="0" bottom="0" percent="0" rank="0" text="" dxfId="0">
      <formula>I2="期限超過"</formula>
    </cfRule>
    <cfRule type="expression" priority="3" aboveAverage="0" equalAverage="0" bottom="0" percent="0" rank="0" text="" dxfId="1">
      <formula>I2="直近"</formula>
    </cfRule>
  </conditionalFormatting>
  <dataValidations count="2">
    <dataValidation allowBlank="true" errorStyle="stop" operator="between" showDropDown="false" showErrorMessage="false" showInputMessage="false" sqref="G2:G200" type="list">
      <formula1>"未着手,進行中,完了,保留"</formula1>
      <formula2>0</formula2>
    </dataValidation>
    <dataValidation allowBlank="true" errorStyle="stop" operator="between" showDropDown="false" showErrorMessage="false" showInputMessage="false" sqref="F2:F200" type="list">
      <formula1>"高,中,低"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8"/>
  </cols>
  <sheetData>
    <row r="1" customFormat="false" ht="29.85" hidden="false" customHeight="false" outlineLevel="0" collapsed="false">
      <c r="A1" s="4" t="s">
        <v>2</v>
      </c>
      <c r="B1" s="4" t="s">
        <v>94</v>
      </c>
      <c r="C1" s="4" t="s">
        <v>95</v>
      </c>
      <c r="D1" s="4" t="s">
        <v>96</v>
      </c>
      <c r="E1" s="4" t="s">
        <v>97</v>
      </c>
      <c r="F1" s="4" t="s">
        <v>98</v>
      </c>
    </row>
    <row r="2" customFormat="false" ht="29.85" hidden="false" customHeight="false" outlineLevel="0" collapsed="false">
      <c r="A2" s="5" t="s">
        <v>12</v>
      </c>
      <c r="B2" s="6" t="s">
        <v>99</v>
      </c>
      <c r="C2" s="5" t="s">
        <v>100</v>
      </c>
      <c r="D2" s="5" t="s">
        <v>101</v>
      </c>
      <c r="E2" s="6" t="s">
        <v>102</v>
      </c>
      <c r="F2" s="6" t="s">
        <v>103</v>
      </c>
    </row>
    <row r="3" customFormat="false" ht="15" hidden="false" customHeight="false" outlineLevel="0" collapsed="false">
      <c r="A3" s="5" t="s">
        <v>17</v>
      </c>
      <c r="B3" s="6" t="s">
        <v>104</v>
      </c>
      <c r="C3" s="6" t="s">
        <v>105</v>
      </c>
      <c r="D3" s="6" t="s">
        <v>106</v>
      </c>
      <c r="E3" s="6" t="s">
        <v>102</v>
      </c>
      <c r="F3" s="6" t="s">
        <v>107</v>
      </c>
    </row>
    <row r="4" customFormat="false" ht="15" hidden="false" customHeight="false" outlineLevel="0" collapsed="false">
      <c r="A4" s="5" t="s">
        <v>22</v>
      </c>
      <c r="B4" s="6" t="s">
        <v>108</v>
      </c>
      <c r="C4" s="6" t="s">
        <v>109</v>
      </c>
      <c r="D4" s="5" t="s">
        <v>110</v>
      </c>
      <c r="E4" s="6" t="s">
        <v>102</v>
      </c>
      <c r="F4" s="6" t="s">
        <v>111</v>
      </c>
    </row>
    <row r="5" customFormat="false" ht="15" hidden="false" customHeight="false" outlineLevel="0" collapsed="false">
      <c r="A5" s="5" t="s">
        <v>26</v>
      </c>
      <c r="B5" s="6" t="s">
        <v>104</v>
      </c>
      <c r="C5" s="6" t="s">
        <v>112</v>
      </c>
      <c r="D5" s="6" t="s">
        <v>106</v>
      </c>
      <c r="E5" s="6" t="s">
        <v>102</v>
      </c>
      <c r="F5" s="6" t="s">
        <v>113</v>
      </c>
    </row>
    <row r="6" customFormat="false" ht="15" hidden="false" customHeight="false" outlineLevel="0" collapsed="false">
      <c r="A6" s="5" t="s">
        <v>31</v>
      </c>
      <c r="B6" s="6" t="s">
        <v>114</v>
      </c>
      <c r="C6" s="6" t="s">
        <v>115</v>
      </c>
      <c r="D6" s="5" t="s">
        <v>116</v>
      </c>
      <c r="E6" s="6" t="s">
        <v>102</v>
      </c>
      <c r="F6" s="6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2026-10-24T12:10:05Z</dcterms:created>
  <dc:creator>openpyxl</dc:creator>
  <dc:description/>
  <dc:language>en-US</dc:language>
  <cp:lastModifiedBy/>
  <dcterms:modified xsi:type="dcterms:W3CDTF">2026-10-24T12:10:05Z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