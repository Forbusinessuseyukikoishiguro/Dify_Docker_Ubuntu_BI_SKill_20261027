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一覧" sheetId="2" state="visible" r:id="rId4"/>
    <sheet name="選択肢" sheetId="3" state="visible" r:id="rId5"/>
    <sheet name="スキル" sheetId="4" state="visible" r:id="rId6"/>
    <sheet name="サブエージェント" sheetId="5" state="visible" r:id="rId7"/>
    <sheet name="フック" sheetId="6" state="visible" r:id="rId8"/>
  </sheets>
  <definedNames>
    <definedName function="false" hidden="true" localSheetId="4" name="_xlnm._FilterDatabase" vbProcedure="false">サブエージェント!$A$1:$L$100</definedName>
    <definedName function="false" hidden="true" localSheetId="3" name="_xlnm._FilterDatabase" vbProcedure="false">スキル!$A$1:$M$100</definedName>
    <definedName function="false" hidden="true" localSheetId="5" name="_xlnm._FilterDatabase" vbProcedure="false">フック!$A$1:$M$100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<sst xmlns="http://schemas.openxmlformats.org/spreadsheetml/2006/main" count="214" uniqueCount="147">
  <si>
    <r>
      <rPr>
        <b val="true"/>
        <sz val="14"/>
        <rFont val="Arial"/>
        <family val="0"/>
        <charset val="1"/>
      </rPr>
      <t xml:space="preserve">Claude Skill</t>
    </r>
    <r>
      <rPr>
        <b val="true"/>
        <sz val="14"/>
        <rFont val="Noto Sans CJK SC"/>
        <family val="2"/>
      </rPr>
      <t xml:space="preserve">・サブエージェント・フック 管理表</t>
    </r>
  </si>
  <si>
    <t xml:space="preserve">【タブ】</t>
  </si>
  <si>
    <t xml:space="preserve">一覧：状態ごとの件数と、点検が古いものの数（自動）</t>
  </si>
  <si>
    <r>
      <rPr>
        <sz val="11"/>
        <rFont val="Noto Sans CJK SC"/>
        <family val="2"/>
      </rPr>
      <t xml:space="preserve">スキル／サブエージェント／フック：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行に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つ登録する</t>
    </r>
  </si>
  <si>
    <t xml:space="preserve">選択肢：プルダウンの中身。ここを書き換えると選べる項目が変わる</t>
  </si>
  <si>
    <t xml:space="preserve">【書き方】</t>
  </si>
  <si>
    <t xml:space="preserve">黄色の行は例。書き換えるか消して使う</t>
  </si>
  <si>
    <r>
      <rPr>
        <sz val="11"/>
        <rFont val="Arial"/>
        <family val="0"/>
        <charset val="1"/>
      </rPr>
      <t xml:space="preserve">ID</t>
    </r>
    <r>
      <rPr>
        <sz val="11"/>
        <rFont val="Noto Sans CJK SC"/>
        <family val="2"/>
      </rPr>
      <t xml:space="preserve">はスキル </t>
    </r>
    <r>
      <rPr>
        <sz val="11"/>
        <rFont val="Arial"/>
        <family val="0"/>
        <charset val="1"/>
      </rPr>
      <t xml:space="preserve">SK-001</t>
    </r>
    <r>
      <rPr>
        <sz val="11"/>
        <rFont val="Noto Sans CJK SC"/>
        <family val="2"/>
      </rPr>
      <t xml:space="preserve">、サブエージェント </t>
    </r>
    <r>
      <rPr>
        <sz val="11"/>
        <rFont val="Arial"/>
        <family val="0"/>
        <charset val="1"/>
      </rPr>
      <t xml:space="preserve">AG-001</t>
    </r>
    <r>
      <rPr>
        <sz val="11"/>
        <rFont val="Noto Sans CJK SC"/>
        <family val="2"/>
      </rPr>
      <t xml:space="preserve">、フック </t>
    </r>
    <r>
      <rPr>
        <sz val="11"/>
        <rFont val="Arial"/>
        <family val="0"/>
        <charset val="1"/>
      </rPr>
      <t xml:space="preserve">HK-001 </t>
    </r>
    <r>
      <rPr>
        <sz val="11"/>
        <rFont val="Noto Sans CJK SC"/>
        <family val="2"/>
      </rPr>
      <t xml:space="preserve">のように付けると、互いの列から指しやすい</t>
    </r>
  </si>
  <si>
    <t xml:space="preserve">状態・種類・設定場所などはプルダウンから選ぶ</t>
  </si>
  <si>
    <r>
      <rPr>
        <sz val="11"/>
        <rFont val="Noto Sans CJK SC"/>
        <family val="2"/>
      </rPr>
      <t xml:space="preserve">フックの「</t>
    </r>
    <r>
      <rPr>
        <sz val="11"/>
        <rFont val="Arial"/>
        <family val="0"/>
        <charset val="1"/>
      </rPr>
      <t xml:space="preserve">exit 2</t>
    </r>
    <r>
      <rPr>
        <sz val="11"/>
        <rFont val="Noto Sans CJK SC"/>
        <family val="2"/>
      </rPr>
      <t xml:space="preserve">で止められる」は、イベントを選ぶと自動で入る（</t>
    </r>
    <r>
      <rPr>
        <sz val="11"/>
        <rFont val="Arial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月時点の公式リファレンスより）</t>
    </r>
  </si>
  <si>
    <r>
      <rPr>
        <sz val="11"/>
        <rFont val="Noto Sans CJK SC"/>
        <family val="2"/>
      </rPr>
      <t xml:space="preserve">最終点検日は </t>
    </r>
    <r>
      <rPr>
        <sz val="11"/>
        <rFont val="Arial"/>
        <family val="0"/>
        <charset val="1"/>
      </rPr>
      <t xml:space="preserve">YYYY-MM-DD </t>
    </r>
    <r>
      <rPr>
        <sz val="11"/>
        <rFont val="Noto Sans CJK SC"/>
        <family val="2"/>
      </rPr>
      <t xml:space="preserve">の日付で入れる。更新すると一覧の「</t>
    </r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日以上たったもの」が減る</t>
    </r>
  </si>
  <si>
    <t xml:space="preserve">【出典】</t>
  </si>
  <si>
    <r>
      <rPr>
        <sz val="11"/>
        <rFont val="Noto Sans CJK SC"/>
        <family val="2"/>
      </rPr>
      <t xml:space="preserve">フックのイベント・種類・設定場所：</t>
    </r>
    <r>
      <rPr>
        <sz val="11"/>
        <rFont val="Arial"/>
        <family val="0"/>
        <charset val="1"/>
      </rPr>
      <t xml:space="preserve">https://code.claude.com/docs/en/hooks.md</t>
    </r>
  </si>
  <si>
    <r>
      <rPr>
        <sz val="11"/>
        <rFont val="Noto Sans CJK SC"/>
        <family val="2"/>
      </rPr>
      <t xml:space="preserve">サブエージェントの置き場所・モデル：</t>
    </r>
    <r>
      <rPr>
        <sz val="11"/>
        <rFont val="Arial"/>
        <family val="0"/>
        <charset val="1"/>
      </rPr>
      <t xml:space="preserve">https://docs.claude.com/en/docs/claude-code/sub-agents</t>
    </r>
  </si>
  <si>
    <t xml:space="preserve">状態別の件数（自動で数えます）</t>
  </si>
  <si>
    <t xml:space="preserve">状態</t>
  </si>
  <si>
    <t xml:space="preserve">スキル</t>
  </si>
  <si>
    <t xml:space="preserve">サブエージェント</t>
  </si>
  <si>
    <t xml:space="preserve">フック</t>
  </si>
  <si>
    <t xml:space="preserve">合計</t>
  </si>
  <si>
    <t xml:space="preserve">アイデア</t>
  </si>
  <si>
    <t xml:space="preserve">作成中</t>
  </si>
  <si>
    <t xml:space="preserve">テスト中</t>
  </si>
  <si>
    <t xml:space="preserve">運用中</t>
  </si>
  <si>
    <t xml:space="preserve">停止中</t>
  </si>
  <si>
    <t xml:space="preserve">廃止</t>
  </si>
  <si>
    <r>
      <rPr>
        <sz val="11"/>
        <rFont val="Noto Sans CJK SC"/>
        <family val="2"/>
      </rPr>
      <t xml:space="preserve">点検から</t>
    </r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日以上たったもの</t>
    </r>
  </si>
  <si>
    <t xml:space="preserve">スキル種類</t>
  </si>
  <si>
    <t xml:space="preserve">起動方法</t>
  </si>
  <si>
    <t xml:space="preserve">エージェント範囲</t>
  </si>
  <si>
    <t xml:space="preserve">モデル</t>
  </si>
  <si>
    <t xml:space="preserve">呼び出し方</t>
  </si>
  <si>
    <t xml:space="preserve">フック種類</t>
  </si>
  <si>
    <t xml:space="preserve">設定場所</t>
  </si>
  <si>
    <t xml:space="preserve">失敗時</t>
  </si>
  <si>
    <t xml:space="preserve">フックイベント</t>
  </si>
  <si>
    <r>
      <rPr>
        <b val="true"/>
        <sz val="11"/>
        <color rgb="FFFFFFFF"/>
        <rFont val="Arial"/>
        <family val="0"/>
        <charset val="1"/>
      </rPr>
      <t xml:space="preserve">exit 2</t>
    </r>
    <r>
      <rPr>
        <b val="true"/>
        <sz val="11"/>
        <color rgb="FFFFFFFF"/>
        <rFont val="Noto Sans CJK SC"/>
        <family val="2"/>
      </rPr>
      <t xml:space="preserve">で止められる</t>
    </r>
  </si>
  <si>
    <r>
      <rPr>
        <sz val="11"/>
        <rFont val="Noto Sans CJK SC"/>
        <family val="2"/>
      </rPr>
      <t xml:space="preserve">個人（</t>
    </r>
    <r>
      <rPr>
        <sz val="11"/>
        <rFont val="Arial"/>
        <family val="0"/>
        <charset val="1"/>
      </rPr>
      <t xml:space="preserve">~/.claude/skills/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</si>
  <si>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自動（</t>
    </r>
    <r>
      <rPr>
        <sz val="11"/>
        <rFont val="Arial"/>
        <family val="0"/>
        <charset val="1"/>
      </rPr>
      <t xml:space="preserve">description</t>
    </r>
    <r>
      <rPr>
        <sz val="11"/>
        <rFont val="Noto Sans CJK SC"/>
        <family val="2"/>
      </rPr>
      <t xml:space="preserve">で判断）</t>
    </r>
  </si>
  <si>
    <r>
      <rPr>
        <sz val="11"/>
        <rFont val="Noto Sans CJK SC"/>
        <family val="2"/>
      </rPr>
      <t xml:space="preserve">プロジェクト（</t>
    </r>
    <r>
      <rPr>
        <sz val="11"/>
        <rFont val="Arial"/>
        <family val="0"/>
        <charset val="1"/>
      </rPr>
      <t xml:space="preserve">.claude/agents/</t>
    </r>
    <r>
      <rPr>
        <sz val="11"/>
        <rFont val="Noto Sans CJK SC"/>
        <family val="2"/>
      </rPr>
      <t xml:space="preserve">）</t>
    </r>
  </si>
  <si>
    <t xml:space="preserve">inherit</t>
  </si>
  <si>
    <t xml:space="preserve">command</t>
  </si>
  <si>
    <t xml:space="preserve">~/.claude/settings.json</t>
  </si>
  <si>
    <t xml:space="preserve">未設定</t>
  </si>
  <si>
    <t xml:space="preserve">SessionStart</t>
  </si>
  <si>
    <t xml:space="preserve">いいえ</t>
  </si>
  <si>
    <r>
      <rPr>
        <sz val="11"/>
        <rFont val="Noto Sans CJK SC"/>
        <family val="2"/>
      </rPr>
      <t xml:space="preserve">プロジェクト（</t>
    </r>
    <r>
      <rPr>
        <sz val="11"/>
        <rFont val="Arial"/>
        <family val="0"/>
        <charset val="1"/>
      </rPr>
      <t xml:space="preserve">.claude/skills/</t>
    </r>
    <r>
      <rPr>
        <sz val="11"/>
        <rFont val="Noto Sans CJK SC"/>
        <family val="2"/>
      </rPr>
      <t xml:space="preserve">）</t>
    </r>
  </si>
  <si>
    <t xml:space="preserve">スラッシュコマンド</t>
  </si>
  <si>
    <r>
      <rPr>
        <sz val="11"/>
        <rFont val="Noto Sans CJK SC"/>
        <family val="2"/>
      </rPr>
      <t xml:space="preserve">ユーザー（</t>
    </r>
    <r>
      <rPr>
        <sz val="11"/>
        <rFont val="Arial"/>
        <family val="0"/>
        <charset val="1"/>
      </rPr>
      <t xml:space="preserve">~/.claude/agents/</t>
    </r>
    <r>
      <rPr>
        <sz val="11"/>
        <rFont val="Noto Sans CJK SC"/>
        <family val="2"/>
      </rPr>
      <t xml:space="preserve">）</t>
    </r>
  </si>
  <si>
    <t xml:space="preserve">sonnet</t>
  </si>
  <si>
    <t xml:space="preserve">明示して呼ぶ</t>
  </si>
  <si>
    <t xml:space="preserve">http</t>
  </si>
  <si>
    <t xml:space="preserve">./.claude/settings.json</t>
  </si>
  <si>
    <t xml:space="preserve">continue</t>
  </si>
  <si>
    <t xml:space="preserve">Setup</t>
  </si>
  <si>
    <t xml:space="preserve">プラグイン</t>
  </si>
  <si>
    <t xml:space="preserve">両方</t>
  </si>
  <si>
    <t xml:space="preserve">opus</t>
  </si>
  <si>
    <t xml:space="preserve">mcp_tool</t>
  </si>
  <si>
    <t xml:space="preserve">./.claude/settings.local.json</t>
  </si>
  <si>
    <t xml:space="preserve">block</t>
  </si>
  <si>
    <t xml:space="preserve">UserPromptSubmit</t>
  </si>
  <si>
    <t xml:space="preserve">はい</t>
  </si>
  <si>
    <t xml:space="preserve">組織・共有</t>
  </si>
  <si>
    <r>
      <rPr>
        <sz val="11"/>
        <rFont val="Arial"/>
        <family val="0"/>
        <charset val="1"/>
      </rPr>
      <t xml:space="preserve">CLI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--agents</t>
    </r>
    <r>
      <rPr>
        <sz val="11"/>
        <rFont val="Noto Sans CJK SC"/>
        <family val="2"/>
      </rPr>
      <t xml:space="preserve">）</t>
    </r>
  </si>
  <si>
    <t xml:space="preserve">haiku</t>
  </si>
  <si>
    <t xml:space="preserve">prompt</t>
  </si>
  <si>
    <t xml:space="preserve">管理ポリシー</t>
  </si>
  <si>
    <t xml:space="preserve">UserPromptExpansion</t>
  </si>
  <si>
    <t xml:space="preserve">claude.ai</t>
  </si>
  <si>
    <t xml:space="preserve">fable</t>
  </si>
  <si>
    <t xml:space="preserve">agent</t>
  </si>
  <si>
    <r>
      <rPr>
        <sz val="11"/>
        <rFont val="Noto Sans CJK SC"/>
        <family val="2"/>
      </rPr>
      <t xml:space="preserve">プラグイン </t>
    </r>
    <r>
      <rPr>
        <sz val="11"/>
        <rFont val="Arial"/>
        <family val="0"/>
        <charset val="1"/>
      </rPr>
      <t xml:space="preserve">hooks/hooks.json</t>
    </r>
  </si>
  <si>
    <t xml:space="preserve">PreToolUse</t>
  </si>
  <si>
    <r>
      <rPr>
        <sz val="11"/>
        <rFont val="Noto Sans CJK SC"/>
        <family val="2"/>
      </rPr>
      <t xml:space="preserve">フル</t>
    </r>
    <r>
      <rPr>
        <sz val="11"/>
        <rFont val="Arial"/>
        <family val="0"/>
        <charset val="1"/>
      </rPr>
      <t xml:space="preserve">ID</t>
    </r>
    <r>
      <rPr>
        <sz val="11"/>
        <rFont val="Noto Sans CJK SC"/>
        <family val="2"/>
      </rPr>
      <t xml:space="preserve">指定</t>
    </r>
  </si>
  <si>
    <r>
      <rPr>
        <sz val="11"/>
        <rFont val="Noto Sans CJK SC"/>
        <family val="2"/>
      </rPr>
      <t xml:space="preserve">スキルの</t>
    </r>
    <r>
      <rPr>
        <sz val="11"/>
        <rFont val="Arial"/>
        <family val="0"/>
        <charset val="1"/>
      </rPr>
      <t xml:space="preserve">frontmatter</t>
    </r>
  </si>
  <si>
    <t xml:space="preserve">PermissionRequest</t>
  </si>
  <si>
    <r>
      <rPr>
        <sz val="11"/>
        <rFont val="Noto Sans CJK SC"/>
        <family val="2"/>
      </rPr>
      <t xml:space="preserve">いいえ（</t>
    </r>
    <r>
      <rPr>
        <sz val="11"/>
        <rFont val="Arial"/>
        <family val="0"/>
        <charset val="1"/>
      </rPr>
      <t xml:space="preserve">JSON</t>
    </r>
    <r>
      <rPr>
        <sz val="11"/>
        <rFont val="Noto Sans CJK SC"/>
        <family val="2"/>
      </rPr>
      <t xml:space="preserve">で判定）</t>
    </r>
  </si>
  <si>
    <r>
      <rPr>
        <sz val="11"/>
        <rFont val="Noto Sans CJK SC"/>
        <family val="2"/>
      </rPr>
      <t xml:space="preserve">サブエージェントの</t>
    </r>
    <r>
      <rPr>
        <sz val="11"/>
        <rFont val="Arial"/>
        <family val="0"/>
        <charset val="1"/>
      </rPr>
      <t xml:space="preserve">frontmatter</t>
    </r>
  </si>
  <si>
    <t xml:space="preserve">PermissionDenied</t>
  </si>
  <si>
    <t xml:space="preserve">PostToolUse</t>
  </si>
  <si>
    <t xml:space="preserve">PostToolUseFailure</t>
  </si>
  <si>
    <t xml:space="preserve">PostToolBatch</t>
  </si>
  <si>
    <t xml:space="preserve">Notification</t>
  </si>
  <si>
    <t xml:space="preserve">MessageDisplay</t>
  </si>
  <si>
    <t xml:space="preserve">SubagentStart</t>
  </si>
  <si>
    <t xml:space="preserve">SubagentStop</t>
  </si>
  <si>
    <t xml:space="preserve">TaskCreated</t>
  </si>
  <si>
    <t xml:space="preserve">TaskCompleted</t>
  </si>
  <si>
    <t xml:space="preserve">Stop</t>
  </si>
  <si>
    <t xml:space="preserve">StopFailure</t>
  </si>
  <si>
    <t xml:space="preserve">TeammateIdle</t>
  </si>
  <si>
    <t xml:space="preserve">InstructionsLoaded</t>
  </si>
  <si>
    <t xml:space="preserve">ConfigChange</t>
  </si>
  <si>
    <t xml:space="preserve">CwdChanged</t>
  </si>
  <si>
    <t xml:space="preserve">DirectoryAdded</t>
  </si>
  <si>
    <t xml:space="preserve">FileChanged</t>
  </si>
  <si>
    <t xml:space="preserve">WorktreeCreate</t>
  </si>
  <si>
    <t xml:space="preserve">WorktreeRemove</t>
  </si>
  <si>
    <t xml:space="preserve">PreCompact</t>
  </si>
  <si>
    <t xml:space="preserve">PostCompact</t>
  </si>
  <si>
    <t xml:space="preserve">PreModelSwitch</t>
  </si>
  <si>
    <t xml:space="preserve">PostModelSwitch</t>
  </si>
  <si>
    <t xml:space="preserve">Elicitation</t>
  </si>
  <si>
    <t xml:space="preserve">ElicitationResult</t>
  </si>
  <si>
    <t xml:space="preserve">SessionEnd</t>
  </si>
  <si>
    <t xml:space="preserve">ID</t>
  </si>
  <si>
    <r>
      <rPr>
        <b val="true"/>
        <sz val="11"/>
        <color rgb="FFFFFFFF"/>
        <rFont val="Noto Sans CJK SC"/>
        <family val="2"/>
      </rPr>
      <t xml:space="preserve">スキル名（</t>
    </r>
    <r>
      <rPr>
        <b val="true"/>
        <sz val="11"/>
        <color rgb="FFFFFFFF"/>
        <rFont val="Arial"/>
        <family val="0"/>
        <charset val="1"/>
      </rPr>
      <t xml:space="preserve">name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</si>
  <si>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説明（</t>
    </r>
    <r>
      <rPr>
        <b val="true"/>
        <sz val="11"/>
        <color rgb="FFFFFFFF"/>
        <rFont val="Arial"/>
        <family val="0"/>
        <charset val="1"/>
      </rPr>
      <t xml:space="preserve">description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</si>
  <si>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種類</t>
  </si>
  <si>
    <t xml:space="preserve">置き場所（パス）</t>
  </si>
  <si>
    <r>
      <rPr>
        <b val="true"/>
        <sz val="11"/>
        <color rgb="FFFFFFFF"/>
        <rFont val="Noto Sans CJK SC"/>
        <family val="2"/>
      </rPr>
      <t xml:space="preserve">使うツール（</t>
    </r>
    <r>
      <rPr>
        <b val="true"/>
        <sz val="11"/>
        <color rgb="FFFFFFFF"/>
        <rFont val="Arial"/>
        <family val="0"/>
        <charset val="1"/>
      </rPr>
      <t xml:space="preserve">allowed-tools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</si>
  <si>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持っているフック（フック</t>
    </r>
    <r>
      <rPr>
        <b val="true"/>
        <sz val="11"/>
        <color rgb="FFFFFFFF"/>
        <rFont val="Arial"/>
        <family val="0"/>
        <charset val="1"/>
      </rPr>
      <t xml:space="preserve">ID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</si>
  <si>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関連サブエージェント（</t>
    </r>
    <r>
      <rPr>
        <b val="true"/>
        <sz val="11"/>
        <color rgb="FFFFFFFF"/>
        <rFont val="Arial"/>
        <family val="0"/>
        <charset val="1"/>
      </rPr>
      <t xml:space="preserve">ID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</si>
  <si>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版</t>
  </si>
  <si>
    <t xml:space="preserve">最終点検日</t>
  </si>
  <si>
    <t xml:space="preserve">メモ</t>
  </si>
  <si>
    <t xml:space="preserve">SK-001</t>
  </si>
  <si>
    <t xml:space="preserve">usausa-writing</t>
  </si>
  <si>
    <r>
      <rPr>
        <sz val="11"/>
        <rFont val="Arial"/>
        <family val="0"/>
        <charset val="1"/>
      </rPr>
      <t xml:space="preserve">Qiita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Zenn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note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Kindle</t>
    </r>
    <r>
      <rPr>
        <sz val="11"/>
        <rFont val="Noto Sans CJK SC"/>
        <family val="2"/>
      </rPr>
      <t xml:space="preserve">の記事を うさうさ研修工房 の文体で書く</t>
    </r>
  </si>
  <si>
    <t xml:space="preserve">~/.claude/skills/usausa-writing/SKILL.md</t>
  </si>
  <si>
    <t xml:space="preserve">Read, Write</t>
  </si>
  <si>
    <t xml:space="preserve">1.0</t>
  </si>
  <si>
    <t xml:space="preserve">例の行（書き換えて使う）</t>
  </si>
  <si>
    <r>
      <rPr>
        <b val="true"/>
        <sz val="11"/>
        <color rgb="FFFFFFFF"/>
        <rFont val="Noto Sans CJK SC"/>
        <family val="2"/>
      </rPr>
      <t xml:space="preserve">名前（</t>
    </r>
    <r>
      <rPr>
        <b val="true"/>
        <sz val="11"/>
        <color rgb="FFFFFFFF"/>
        <rFont val="Arial"/>
        <family val="0"/>
        <charset val="1"/>
      </rPr>
      <t xml:space="preserve">name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</si>
  <si>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役割（</t>
    </r>
    <r>
      <rPr>
        <b val="true"/>
        <sz val="11"/>
        <color rgb="FFFFFFFF"/>
        <rFont val="Arial"/>
        <family val="0"/>
        <charset val="1"/>
      </rPr>
      <t xml:space="preserve">description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</si>
  <si>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範囲</t>
  </si>
  <si>
    <r>
      <rPr>
        <b val="true"/>
        <sz val="11"/>
        <color rgb="FFFFFFFF"/>
        <rFont val="Noto Sans CJK SC"/>
        <family val="2"/>
      </rPr>
      <t xml:space="preserve">モデル（</t>
    </r>
    <r>
      <rPr>
        <b val="true"/>
        <sz val="11"/>
        <color rgb="FFFFFFFF"/>
        <rFont val="Arial"/>
        <family val="0"/>
        <charset val="1"/>
      </rPr>
      <t xml:space="preserve">model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</si>
  <si>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ツール（</t>
    </r>
    <r>
      <rPr>
        <b val="true"/>
        <sz val="11"/>
        <color rgb="FFFFFFFF"/>
        <rFont val="Arial"/>
        <family val="0"/>
        <charset val="1"/>
      </rPr>
      <t xml:space="preserve">tools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</si>
  <si>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使うスキル（スキル</t>
    </r>
    <r>
      <rPr>
        <b val="true"/>
        <sz val="11"/>
        <color rgb="FFFFFFFF"/>
        <rFont val="Arial"/>
        <family val="0"/>
        <charset val="1"/>
      </rPr>
      <t xml:space="preserve">ID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</si>
  <si>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AG-001</t>
  </si>
  <si>
    <t xml:space="preserve">code-reviewer</t>
  </si>
  <si>
    <t xml:space="preserve">コードの変更を読んで、バグと読みにくい所を指摘する（直さない）</t>
  </si>
  <si>
    <t xml:space="preserve">Read, Grep, Glob</t>
  </si>
  <si>
    <t xml:space="preserve">例の行</t>
  </si>
  <si>
    <t xml:space="preserve">イベント</t>
  </si>
  <si>
    <r>
      <rPr>
        <b val="true"/>
        <sz val="11"/>
        <color rgb="FFFFFFFF"/>
        <rFont val="Arial"/>
        <family val="0"/>
        <charset val="1"/>
      </rPr>
      <t xml:space="preserve">matcher</t>
    </r>
    <r>
      <rPr>
        <b val="true"/>
        <sz val="11"/>
        <color rgb="FFFFFFFF"/>
        <rFont val="Noto Sans CJK SC"/>
        <family val="2"/>
      </rPr>
      <t xml:space="preserve">（対象）</t>
    </r>
  </si>
  <si>
    <r>
      <rPr>
        <b val="true"/>
        <sz val="11"/>
        <color rgb="FFFFFFFF"/>
        <rFont val="Noto Sans CJK SC"/>
        <family val="2"/>
      </rPr>
      <t xml:space="preserve">種類（</t>
    </r>
    <r>
      <rPr>
        <b val="true"/>
        <sz val="11"/>
        <color rgb="FFFFFFFF"/>
        <rFont val="Arial"/>
        <family val="0"/>
        <charset val="1"/>
      </rPr>
      <t xml:space="preserve">type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</si>
  <si>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実行内容（</t>
    </r>
    <r>
      <rPr>
        <b val="true"/>
        <sz val="11"/>
        <color rgb="FFFFFFFF"/>
        <rFont val="Arial"/>
        <family val="0"/>
        <charset val="1"/>
      </rPr>
      <t xml:space="preserve">command / URL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</si>
  <si>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目的</t>
  </si>
  <si>
    <r>
      <rPr>
        <b val="true"/>
        <sz val="11"/>
        <color rgb="FFFFFFFF"/>
        <rFont val="Arial"/>
        <family val="0"/>
        <charset val="1"/>
      </rPr>
      <t xml:space="preserve">exit 2</t>
    </r>
    <r>
      <rPr>
        <b val="true"/>
        <sz val="11"/>
        <color rgb="FFFFFFFF"/>
        <rFont val="Noto Sans CJK SC"/>
        <family val="2"/>
      </rPr>
      <t xml:space="preserve">で止められる（自動）</t>
    </r>
  </si>
  <si>
    <r>
      <rPr>
        <b val="true"/>
        <sz val="11"/>
        <color rgb="FFFFFFFF"/>
        <rFont val="Noto Sans CJK SC"/>
        <family val="2"/>
      </rPr>
      <t xml:space="preserve">失敗時（</t>
    </r>
    <r>
      <rPr>
        <b val="true"/>
        <sz val="11"/>
        <color rgb="FFFFFFFF"/>
        <rFont val="Arial"/>
        <family val="0"/>
        <charset val="1"/>
      </rPr>
      <t xml:space="preserve">onFailure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</si>
  <si>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timeout</t>
    </r>
    <r>
      <rPr>
        <b val="true"/>
        <sz val="11"/>
        <color rgb="FFFFFFFF"/>
        <rFont val="Noto Sans CJK SC"/>
        <family val="2"/>
      </rPr>
      <t xml:space="preserve">（秒）</t>
    </r>
  </si>
  <si>
    <t xml:space="preserve">HK-001</t>
  </si>
  <si>
    <t xml:space="preserve">Edit|Write</t>
  </si>
  <si>
    <t xml:space="preserve">${CLAUDE_PROJECT_DIR}/.claude/hooks/lint.sh</t>
  </si>
  <si>
    <t xml:space="preserve">ファイルを書いたあとに整形チェックをする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</si>
</sst>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F51B5"/>
        <bgColor rgb="FF666699"/>
      </patternFill>
    </fill>
    <fill>
      <patternFill patternType="solid">
        <fgColor rgb="FFFFF8E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F51B5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51B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7.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4" t="s">
        <v>9</v>
      </c>
    </row>
    <row r="13" customFormat="false" ht="17.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5" t="s">
        <v>14</v>
      </c>
    </row>
    <row r="3" customFormat="false" ht="32.8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</row>
    <row r="4" customFormat="false" ht="15" hidden="false" customHeight="false" outlineLevel="0" collapsed="false">
      <c r="A4" s="4" t="s">
        <v>20</v>
      </c>
      <c r="B4" s="2" t="n">
        <f aca="false">COUNTIF(スキル!$K$2:$K$100,A4)</f>
        <v>0</v>
      </c>
      <c r="C4" s="2" t="n">
        <f aca="false">COUNTIF(サブエージェント!$J$2:$J$100,A4)</f>
        <v>0</v>
      </c>
      <c r="D4" s="2" t="n">
        <f aca="false">COUNTIF(フック!$K$2:$K$100,A4)</f>
        <v>0</v>
      </c>
      <c r="E4" s="2" t="n">
        <f aca="false">SUM(B4:D4)</f>
        <v>0</v>
      </c>
    </row>
    <row r="5" customFormat="false" ht="15" hidden="false" customHeight="false" outlineLevel="0" collapsed="false">
      <c r="A5" s="4" t="s">
        <v>21</v>
      </c>
      <c r="B5" s="2" t="n">
        <f aca="false">COUNTIF(スキル!$K$2:$K$100,A5)</f>
        <v>0</v>
      </c>
      <c r="C5" s="2" t="n">
        <f aca="false">COUNTIF(サブエージェント!$J$2:$J$100,A5)</f>
        <v>0</v>
      </c>
      <c r="D5" s="2" t="n">
        <f aca="false">COUNTIF(フック!$K$2:$K$100,A5)</f>
        <v>0</v>
      </c>
      <c r="E5" s="2" t="n">
        <f aca="false">SUM(B5:D5)</f>
        <v>0</v>
      </c>
    </row>
    <row r="6" customFormat="false" ht="15" hidden="false" customHeight="false" outlineLevel="0" collapsed="false">
      <c r="A6" s="4" t="s">
        <v>22</v>
      </c>
      <c r="B6" s="2" t="n">
        <f aca="false">COUNTIF(スキル!$K$2:$K$100,A6)</f>
        <v>0</v>
      </c>
      <c r="C6" s="2" t="n">
        <f aca="false">COUNTIF(サブエージェント!$J$2:$J$100,A6)</f>
        <v>1</v>
      </c>
      <c r="D6" s="2" t="n">
        <f aca="false">COUNTIF(フック!$K$2:$K$100,A6)</f>
        <v>0</v>
      </c>
      <c r="E6" s="2" t="n">
        <f aca="false">SUM(B6:D6)</f>
        <v>1</v>
      </c>
    </row>
    <row r="7" customFormat="false" ht="15" hidden="false" customHeight="false" outlineLevel="0" collapsed="false">
      <c r="A7" s="4" t="s">
        <v>23</v>
      </c>
      <c r="B7" s="2" t="n">
        <f aca="false">COUNTIF(スキル!$K$2:$K$100,A7)</f>
        <v>1</v>
      </c>
      <c r="C7" s="2" t="n">
        <f aca="false">COUNTIF(サブエージェント!$J$2:$J$100,A7)</f>
        <v>0</v>
      </c>
      <c r="D7" s="2" t="n">
        <f aca="false">COUNTIF(フック!$K$2:$K$100,A7)</f>
        <v>1</v>
      </c>
      <c r="E7" s="2" t="n">
        <f aca="false">SUM(B7:D7)</f>
        <v>2</v>
      </c>
    </row>
    <row r="8" customFormat="false" ht="15" hidden="false" customHeight="false" outlineLevel="0" collapsed="false">
      <c r="A8" s="4" t="s">
        <v>24</v>
      </c>
      <c r="B8" s="2" t="n">
        <f aca="false">COUNTIF(スキル!$K$2:$K$100,A8)</f>
        <v>0</v>
      </c>
      <c r="C8" s="2" t="n">
        <f aca="false">COUNTIF(サブエージェント!$J$2:$J$100,A8)</f>
        <v>0</v>
      </c>
      <c r="D8" s="2" t="n">
        <f aca="false">COUNTIF(フック!$K$2:$K$100,A8)</f>
        <v>0</v>
      </c>
      <c r="E8" s="2" t="n">
        <f aca="false">SUM(B8:D8)</f>
        <v>0</v>
      </c>
    </row>
    <row r="9" customFormat="false" ht="15" hidden="false" customHeight="false" outlineLevel="0" collapsed="false">
      <c r="A9" s="4" t="s">
        <v>25</v>
      </c>
      <c r="B9" s="2" t="n">
        <f aca="false">COUNTIF(スキル!$K$2:$K$100,A9)</f>
        <v>0</v>
      </c>
      <c r="C9" s="2" t="n">
        <f aca="false">COUNTIF(サブエージェント!$J$2:$J$100,A9)</f>
        <v>0</v>
      </c>
      <c r="D9" s="2" t="n">
        <f aca="false">COUNTIF(フック!$K$2:$K$100,A9)</f>
        <v>0</v>
      </c>
      <c r="E9" s="2" t="n">
        <f aca="false">SUM(B9:D9)</f>
        <v>0</v>
      </c>
    </row>
    <row r="10" customFormat="false" ht="15" hidden="false" customHeight="false" outlineLevel="0" collapsed="false">
      <c r="A10" s="3" t="s">
        <v>19</v>
      </c>
      <c r="B10" s="3" t="n">
        <f aca="false">SUM(B4:B9)</f>
        <v>1</v>
      </c>
      <c r="C10" s="3" t="n">
        <f aca="false">SUM(C4:C9)</f>
        <v>1</v>
      </c>
      <c r="D10" s="3" t="n">
        <f aca="false">SUM(D4:D9)</f>
        <v>1</v>
      </c>
      <c r="E10" s="3" t="n">
        <f aca="false">SUM(E4:E9)</f>
        <v>3</v>
      </c>
    </row>
    <row r="12" customFormat="false" ht="17.15" hidden="false" customHeight="false" outlineLevel="0" collapsed="false">
      <c r="A12" s="4" t="s">
        <v>26</v>
      </c>
      <c r="B12" s="2" t="n">
        <f aca="true">COUNTIFS(スキル!$L$2:$L$100,"&lt;"&amp;(TODAY()-90),スキル!$L$2:$L$100,"&lt;&gt;")</f>
        <v>0</v>
      </c>
      <c r="C12" s="2" t="n">
        <f aca="true">COUNTIFS(サブエージェント!$K$2:$K$100,"&lt;"&amp;(TODAY()-90),サブエージェント!$K$2:$K$100,"&lt;&gt;")</f>
        <v>0</v>
      </c>
      <c r="D12" s="2" t="n">
        <f aca="true">COUNTIFS(フック!$L$2:$L$100,"&lt;"&amp;(TODAY()-90),フック!$L$2:$L$100,"&lt;&gt;")</f>
        <v>0</v>
      </c>
      <c r="E12" s="2" t="n">
        <f aca="false">SUM(B12:D12)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8"/>
  </cols>
  <sheetData>
    <row r="1" customFormat="false" ht="17.15" hidden="false" customHeight="false" outlineLevel="0" collapsed="false">
      <c r="A1" s="6" t="s">
        <v>15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/>
      <c r="K1" s="6" t="s">
        <v>35</v>
      </c>
      <c r="L1" s="7" t="s">
        <v>36</v>
      </c>
    </row>
    <row r="2" customFormat="false" ht="17.15" hidden="false" customHeight="false" outlineLevel="0" collapsed="false">
      <c r="A2" s="4" t="s">
        <v>20</v>
      </c>
      <c r="B2" s="4" t="s">
        <v>37</v>
      </c>
      <c r="C2" s="4" t="s">
        <v>38</v>
      </c>
      <c r="D2" s="4" t="s">
        <v>39</v>
      </c>
      <c r="E2" s="2" t="s">
        <v>40</v>
      </c>
      <c r="F2" s="4" t="s">
        <v>38</v>
      </c>
      <c r="G2" s="2" t="s">
        <v>41</v>
      </c>
      <c r="H2" s="2" t="s">
        <v>42</v>
      </c>
      <c r="I2" s="4" t="s">
        <v>43</v>
      </c>
      <c r="K2" s="2" t="s">
        <v>44</v>
      </c>
      <c r="L2" s="4" t="s">
        <v>45</v>
      </c>
    </row>
    <row r="3" customFormat="false" ht="17.15" hidden="false" customHeight="false" outlineLevel="0" collapsed="false">
      <c r="A3" s="4" t="s">
        <v>21</v>
      </c>
      <c r="B3" s="4" t="s">
        <v>46</v>
      </c>
      <c r="C3" s="4" t="s">
        <v>47</v>
      </c>
      <c r="D3" s="4" t="s">
        <v>48</v>
      </c>
      <c r="E3" s="2" t="s">
        <v>49</v>
      </c>
      <c r="F3" s="4" t="s">
        <v>50</v>
      </c>
      <c r="G3" s="2" t="s">
        <v>51</v>
      </c>
      <c r="H3" s="2" t="s">
        <v>52</v>
      </c>
      <c r="I3" s="2" t="s">
        <v>53</v>
      </c>
      <c r="K3" s="2" t="s">
        <v>54</v>
      </c>
      <c r="L3" s="4" t="s">
        <v>45</v>
      </c>
    </row>
    <row r="4" customFormat="false" ht="15" hidden="false" customHeight="false" outlineLevel="0" collapsed="false">
      <c r="A4" s="4" t="s">
        <v>22</v>
      </c>
      <c r="B4" s="4" t="s">
        <v>55</v>
      </c>
      <c r="C4" s="4" t="s">
        <v>56</v>
      </c>
      <c r="D4" s="4" t="s">
        <v>55</v>
      </c>
      <c r="E4" s="2" t="s">
        <v>57</v>
      </c>
      <c r="F4" s="4" t="s">
        <v>56</v>
      </c>
      <c r="G4" s="2" t="s">
        <v>58</v>
      </c>
      <c r="H4" s="2" t="s">
        <v>59</v>
      </c>
      <c r="I4" s="2" t="s">
        <v>60</v>
      </c>
      <c r="K4" s="2" t="s">
        <v>61</v>
      </c>
      <c r="L4" s="4" t="s">
        <v>62</v>
      </c>
    </row>
    <row r="5" customFormat="false" ht="17.15" hidden="false" customHeight="false" outlineLevel="0" collapsed="false">
      <c r="A5" s="4" t="s">
        <v>23</v>
      </c>
      <c r="B5" s="4" t="s">
        <v>63</v>
      </c>
      <c r="D5" s="2" t="s">
        <v>64</v>
      </c>
      <c r="E5" s="2" t="s">
        <v>65</v>
      </c>
      <c r="G5" s="2" t="s">
        <v>66</v>
      </c>
      <c r="H5" s="4" t="s">
        <v>67</v>
      </c>
      <c r="K5" s="2" t="s">
        <v>68</v>
      </c>
      <c r="L5" s="4" t="s">
        <v>62</v>
      </c>
    </row>
    <row r="6" customFormat="false" ht="17.15" hidden="false" customHeight="false" outlineLevel="0" collapsed="false">
      <c r="A6" s="4" t="s">
        <v>24</v>
      </c>
      <c r="B6" s="2" t="s">
        <v>69</v>
      </c>
      <c r="E6" s="2" t="s">
        <v>70</v>
      </c>
      <c r="G6" s="2" t="s">
        <v>71</v>
      </c>
      <c r="H6" s="4" t="s">
        <v>72</v>
      </c>
      <c r="K6" s="2" t="s">
        <v>73</v>
      </c>
      <c r="L6" s="4" t="s">
        <v>62</v>
      </c>
    </row>
    <row r="7" customFormat="false" ht="17.15" hidden="false" customHeight="false" outlineLevel="0" collapsed="false">
      <c r="A7" s="4" t="s">
        <v>25</v>
      </c>
      <c r="E7" s="4" t="s">
        <v>74</v>
      </c>
      <c r="H7" s="4" t="s">
        <v>75</v>
      </c>
      <c r="K7" s="2" t="s">
        <v>76</v>
      </c>
      <c r="L7" s="4" t="s">
        <v>77</v>
      </c>
    </row>
    <row r="8" customFormat="false" ht="17.15" hidden="false" customHeight="false" outlineLevel="0" collapsed="false">
      <c r="H8" s="4" t="s">
        <v>78</v>
      </c>
      <c r="K8" s="2" t="s">
        <v>79</v>
      </c>
      <c r="L8" s="4" t="s">
        <v>45</v>
      </c>
    </row>
    <row r="9" customFormat="false" ht="15" hidden="false" customHeight="false" outlineLevel="0" collapsed="false">
      <c r="K9" s="2" t="s">
        <v>80</v>
      </c>
      <c r="L9" s="4" t="s">
        <v>45</v>
      </c>
    </row>
    <row r="10" customFormat="false" ht="15" hidden="false" customHeight="false" outlineLevel="0" collapsed="false">
      <c r="K10" s="2" t="s">
        <v>81</v>
      </c>
      <c r="L10" s="4" t="s">
        <v>45</v>
      </c>
    </row>
    <row r="11" customFormat="false" ht="15" hidden="false" customHeight="false" outlineLevel="0" collapsed="false">
      <c r="K11" s="2" t="s">
        <v>82</v>
      </c>
      <c r="L11" s="4" t="s">
        <v>62</v>
      </c>
    </row>
    <row r="12" customFormat="false" ht="15" hidden="false" customHeight="false" outlineLevel="0" collapsed="false">
      <c r="K12" s="2" t="s">
        <v>83</v>
      </c>
      <c r="L12" s="4" t="s">
        <v>45</v>
      </c>
    </row>
    <row r="13" customFormat="false" ht="15" hidden="false" customHeight="false" outlineLevel="0" collapsed="false">
      <c r="K13" s="2" t="s">
        <v>84</v>
      </c>
      <c r="L13" s="4" t="s">
        <v>45</v>
      </c>
    </row>
    <row r="14" customFormat="false" ht="15" hidden="false" customHeight="false" outlineLevel="0" collapsed="false">
      <c r="K14" s="2" t="s">
        <v>85</v>
      </c>
      <c r="L14" s="4" t="s">
        <v>45</v>
      </c>
    </row>
    <row r="15" customFormat="false" ht="15" hidden="false" customHeight="false" outlineLevel="0" collapsed="false">
      <c r="K15" s="2" t="s">
        <v>86</v>
      </c>
      <c r="L15" s="4" t="s">
        <v>62</v>
      </c>
    </row>
    <row r="16" customFormat="false" ht="15" hidden="false" customHeight="false" outlineLevel="0" collapsed="false">
      <c r="K16" s="2" t="s">
        <v>87</v>
      </c>
      <c r="L16" s="4" t="s">
        <v>62</v>
      </c>
    </row>
    <row r="17" customFormat="false" ht="15" hidden="false" customHeight="false" outlineLevel="0" collapsed="false">
      <c r="K17" s="2" t="s">
        <v>88</v>
      </c>
      <c r="L17" s="4" t="s">
        <v>62</v>
      </c>
    </row>
    <row r="18" customFormat="false" ht="15" hidden="false" customHeight="false" outlineLevel="0" collapsed="false">
      <c r="K18" s="2" t="s">
        <v>89</v>
      </c>
      <c r="L18" s="4" t="s">
        <v>62</v>
      </c>
    </row>
    <row r="19" customFormat="false" ht="15" hidden="false" customHeight="false" outlineLevel="0" collapsed="false">
      <c r="K19" s="2" t="s">
        <v>90</v>
      </c>
      <c r="L19" s="4" t="s">
        <v>45</v>
      </c>
    </row>
    <row r="20" customFormat="false" ht="15" hidden="false" customHeight="false" outlineLevel="0" collapsed="false">
      <c r="K20" s="2" t="s">
        <v>91</v>
      </c>
      <c r="L20" s="4" t="s">
        <v>62</v>
      </c>
    </row>
    <row r="21" customFormat="false" ht="15" hidden="false" customHeight="false" outlineLevel="0" collapsed="false">
      <c r="K21" s="2" t="s">
        <v>92</v>
      </c>
      <c r="L21" s="4" t="s">
        <v>45</v>
      </c>
    </row>
    <row r="22" customFormat="false" ht="15" hidden="false" customHeight="false" outlineLevel="0" collapsed="false">
      <c r="K22" s="2" t="s">
        <v>93</v>
      </c>
      <c r="L22" s="4" t="s">
        <v>62</v>
      </c>
    </row>
    <row r="23" customFormat="false" ht="15" hidden="false" customHeight="false" outlineLevel="0" collapsed="false">
      <c r="K23" s="2" t="s">
        <v>94</v>
      </c>
      <c r="L23" s="4" t="s">
        <v>45</v>
      </c>
    </row>
    <row r="24" customFormat="false" ht="15" hidden="false" customHeight="false" outlineLevel="0" collapsed="false">
      <c r="K24" s="2" t="s">
        <v>95</v>
      </c>
      <c r="L24" s="4" t="s">
        <v>45</v>
      </c>
    </row>
    <row r="25" customFormat="false" ht="15" hidden="false" customHeight="false" outlineLevel="0" collapsed="false">
      <c r="K25" s="2" t="s">
        <v>96</v>
      </c>
      <c r="L25" s="4" t="s">
        <v>45</v>
      </c>
    </row>
    <row r="26" customFormat="false" ht="15" hidden="false" customHeight="false" outlineLevel="0" collapsed="false">
      <c r="K26" s="2" t="s">
        <v>97</v>
      </c>
      <c r="L26" s="4" t="s">
        <v>62</v>
      </c>
    </row>
    <row r="27" customFormat="false" ht="15" hidden="false" customHeight="false" outlineLevel="0" collapsed="false">
      <c r="K27" s="2" t="s">
        <v>98</v>
      </c>
      <c r="L27" s="4" t="s">
        <v>62</v>
      </c>
    </row>
    <row r="28" customFormat="false" ht="15" hidden="false" customHeight="false" outlineLevel="0" collapsed="false">
      <c r="K28" s="2" t="s">
        <v>99</v>
      </c>
      <c r="L28" s="4" t="s">
        <v>62</v>
      </c>
    </row>
    <row r="29" customFormat="false" ht="15" hidden="false" customHeight="false" outlineLevel="0" collapsed="false">
      <c r="K29" s="2" t="s">
        <v>100</v>
      </c>
      <c r="L29" s="4" t="s">
        <v>45</v>
      </c>
    </row>
    <row r="30" customFormat="false" ht="15" hidden="false" customHeight="false" outlineLevel="0" collapsed="false">
      <c r="K30" s="2" t="s">
        <v>101</v>
      </c>
      <c r="L30" s="4" t="s">
        <v>62</v>
      </c>
    </row>
    <row r="31" customFormat="false" ht="15" hidden="false" customHeight="false" outlineLevel="0" collapsed="false">
      <c r="K31" s="2" t="s">
        <v>102</v>
      </c>
      <c r="L31" s="4" t="s">
        <v>45</v>
      </c>
    </row>
    <row r="32" customFormat="false" ht="15" hidden="false" customHeight="false" outlineLevel="0" collapsed="false">
      <c r="K32" s="2" t="s">
        <v>103</v>
      </c>
      <c r="L32" s="4" t="s">
        <v>62</v>
      </c>
    </row>
    <row r="33" customFormat="false" ht="15" hidden="false" customHeight="false" outlineLevel="0" collapsed="false">
      <c r="K33" s="2" t="s">
        <v>104</v>
      </c>
      <c r="L33" s="4" t="s">
        <v>62</v>
      </c>
    </row>
    <row r="34" customFormat="false" ht="15" hidden="false" customHeight="false" outlineLevel="0" collapsed="false">
      <c r="K34" s="2" t="s">
        <v>105</v>
      </c>
      <c r="L34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36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9" min="8" style="0" width="20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32.8" hidden="false" customHeight="false" outlineLevel="0" collapsed="false">
      <c r="A1" s="8" t="s">
        <v>106</v>
      </c>
      <c r="B1" s="9" t="s">
        <v>107</v>
      </c>
      <c r="C1" s="9" t="s">
        <v>108</v>
      </c>
      <c r="D1" s="9" t="s">
        <v>109</v>
      </c>
      <c r="E1" s="9" t="s">
        <v>110</v>
      </c>
      <c r="F1" s="9" t="s">
        <v>28</v>
      </c>
      <c r="G1" s="9" t="s">
        <v>111</v>
      </c>
      <c r="H1" s="9" t="s">
        <v>112</v>
      </c>
      <c r="I1" s="9" t="s">
        <v>113</v>
      </c>
      <c r="J1" s="9" t="s">
        <v>114</v>
      </c>
      <c r="K1" s="9" t="s">
        <v>15</v>
      </c>
      <c r="L1" s="9" t="s">
        <v>115</v>
      </c>
      <c r="M1" s="9" t="s">
        <v>116</v>
      </c>
    </row>
    <row r="2" customFormat="false" ht="32.8" hidden="false" customHeight="false" outlineLevel="0" collapsed="false">
      <c r="A2" s="10" t="s">
        <v>117</v>
      </c>
      <c r="B2" s="10" t="s">
        <v>118</v>
      </c>
      <c r="C2" s="10" t="s">
        <v>119</v>
      </c>
      <c r="D2" s="11" t="s">
        <v>55</v>
      </c>
      <c r="E2" s="10" t="s">
        <v>120</v>
      </c>
      <c r="F2" s="11" t="s">
        <v>56</v>
      </c>
      <c r="G2" s="10" t="s">
        <v>121</v>
      </c>
      <c r="H2" s="10"/>
      <c r="I2" s="10"/>
      <c r="J2" s="10" t="s">
        <v>122</v>
      </c>
      <c r="K2" s="11" t="s">
        <v>23</v>
      </c>
      <c r="L2" s="12" t="n">
        <v>46322</v>
      </c>
      <c r="M2" s="11" t="s">
        <v>123</v>
      </c>
    </row>
    <row r="3" customFormat="false" ht="15" hidden="false" customHeight="false" outlineLevel="0" collapsed="false">
      <c r="L3" s="13"/>
    </row>
    <row r="4" customFormat="false" ht="15" hidden="false" customHeight="false" outlineLevel="0" collapsed="false">
      <c r="L4" s="13"/>
    </row>
    <row r="5" customFormat="false" ht="15" hidden="false" customHeight="false" outlineLevel="0" collapsed="false">
      <c r="L5" s="13"/>
    </row>
    <row r="6" customFormat="false" ht="15" hidden="false" customHeight="false" outlineLevel="0" collapsed="false">
      <c r="L6" s="13"/>
    </row>
    <row r="7" customFormat="false" ht="15" hidden="false" customHeight="false" outlineLevel="0" collapsed="false">
      <c r="L7" s="13"/>
    </row>
    <row r="8" customFormat="false" ht="15" hidden="false" customHeight="false" outlineLevel="0" collapsed="false">
      <c r="L8" s="13"/>
    </row>
    <row r="9" customFormat="false" ht="15" hidden="false" customHeight="false" outlineLevel="0" collapsed="false">
      <c r="L9" s="13"/>
    </row>
    <row r="10" customFormat="false" ht="15" hidden="false" customHeight="false" outlineLevel="0" collapsed="false">
      <c r="L10" s="13"/>
    </row>
    <row r="11" customFormat="false" ht="15" hidden="false" customHeight="false" outlineLevel="0" collapsed="false">
      <c r="L11" s="13"/>
    </row>
    <row r="12" customFormat="false" ht="15" hidden="false" customHeight="false" outlineLevel="0" collapsed="false">
      <c r="L12" s="13"/>
    </row>
    <row r="13" customFormat="false" ht="15" hidden="false" customHeight="false" outlineLevel="0" collapsed="false">
      <c r="L13" s="13"/>
    </row>
    <row r="14" customFormat="false" ht="15" hidden="false" customHeight="false" outlineLevel="0" collapsed="false">
      <c r="L14" s="13"/>
    </row>
    <row r="15" customFormat="false" ht="15" hidden="false" customHeight="false" outlineLevel="0" collapsed="false">
      <c r="L15" s="13"/>
    </row>
    <row r="16" customFormat="false" ht="15" hidden="false" customHeight="false" outlineLevel="0" collapsed="false">
      <c r="L16" s="13"/>
    </row>
    <row r="17" customFormat="false" ht="15" hidden="false" customHeight="false" outlineLevel="0" collapsed="false">
      <c r="L17" s="13"/>
    </row>
    <row r="18" customFormat="false" ht="15" hidden="false" customHeight="false" outlineLevel="0" collapsed="false">
      <c r="L18" s="13"/>
    </row>
    <row r="19" customFormat="false" ht="15" hidden="false" customHeight="false" outlineLevel="0" collapsed="false">
      <c r="L19" s="13"/>
    </row>
    <row r="20" customFormat="false" ht="15" hidden="false" customHeight="false" outlineLevel="0" collapsed="false">
      <c r="L20" s="13"/>
    </row>
    <row r="21" customFormat="false" ht="15" hidden="false" customHeight="false" outlineLevel="0" collapsed="false">
      <c r="L21" s="13"/>
    </row>
    <row r="22" customFormat="false" ht="15" hidden="false" customHeight="false" outlineLevel="0" collapsed="false">
      <c r="L22" s="13"/>
    </row>
    <row r="23" customFormat="false" ht="15" hidden="false" customHeight="false" outlineLevel="0" collapsed="false">
      <c r="L23" s="13"/>
    </row>
    <row r="24" customFormat="false" ht="15" hidden="false" customHeight="false" outlineLevel="0" collapsed="false">
      <c r="L24" s="13"/>
    </row>
    <row r="25" customFormat="false" ht="15" hidden="false" customHeight="false" outlineLevel="0" collapsed="false">
      <c r="L25" s="13"/>
    </row>
    <row r="26" customFormat="false" ht="15" hidden="false" customHeight="false" outlineLevel="0" collapsed="false">
      <c r="L26" s="13"/>
    </row>
    <row r="27" customFormat="false" ht="15" hidden="false" customHeight="false" outlineLevel="0" collapsed="false">
      <c r="L27" s="13"/>
    </row>
    <row r="28" customFormat="false" ht="15" hidden="false" customHeight="false" outlineLevel="0" collapsed="false">
      <c r="L28" s="13"/>
    </row>
    <row r="29" customFormat="false" ht="15" hidden="false" customHeight="false" outlineLevel="0" collapsed="false">
      <c r="L29" s="13"/>
    </row>
    <row r="30" customFormat="false" ht="15" hidden="false" customHeight="false" outlineLevel="0" collapsed="false">
      <c r="L30" s="13"/>
    </row>
    <row r="31" customFormat="false" ht="15" hidden="false" customHeight="false" outlineLevel="0" collapsed="false">
      <c r="L31" s="13"/>
    </row>
    <row r="32" customFormat="false" ht="15" hidden="false" customHeight="false" outlineLevel="0" collapsed="false">
      <c r="L32" s="13"/>
    </row>
    <row r="33" customFormat="false" ht="15" hidden="false" customHeight="false" outlineLevel="0" collapsed="false">
      <c r="L33" s="13"/>
    </row>
    <row r="34" customFormat="false" ht="15" hidden="false" customHeight="false" outlineLevel="0" collapsed="false">
      <c r="L34" s="13"/>
    </row>
    <row r="35" customFormat="false" ht="15" hidden="false" customHeight="false" outlineLevel="0" collapsed="false">
      <c r="L35" s="13"/>
    </row>
    <row r="36" customFormat="false" ht="15" hidden="false" customHeight="false" outlineLevel="0" collapsed="false">
      <c r="L36" s="13"/>
    </row>
    <row r="37" customFormat="false" ht="15" hidden="false" customHeight="false" outlineLevel="0" collapsed="false">
      <c r="L37" s="13"/>
    </row>
    <row r="38" customFormat="false" ht="15" hidden="false" customHeight="false" outlineLevel="0" collapsed="false">
      <c r="L38" s="13"/>
    </row>
    <row r="39" customFormat="false" ht="15" hidden="false" customHeight="false" outlineLevel="0" collapsed="false">
      <c r="L39" s="13"/>
    </row>
    <row r="40" customFormat="false" ht="15" hidden="false" customHeight="false" outlineLevel="0" collapsed="false">
      <c r="L40" s="13"/>
    </row>
    <row r="41" customFormat="false" ht="15" hidden="false" customHeight="false" outlineLevel="0" collapsed="false">
      <c r="L41" s="13"/>
    </row>
    <row r="42" customFormat="false" ht="15" hidden="false" customHeight="false" outlineLevel="0" collapsed="false">
      <c r="L42" s="13"/>
    </row>
    <row r="43" customFormat="false" ht="15" hidden="false" customHeight="false" outlineLevel="0" collapsed="false">
      <c r="L43" s="13"/>
    </row>
    <row r="44" customFormat="false" ht="15" hidden="false" customHeight="false" outlineLevel="0" collapsed="false">
      <c r="L44" s="13"/>
    </row>
    <row r="45" customFormat="false" ht="15" hidden="false" customHeight="false" outlineLevel="0" collapsed="false">
      <c r="L45" s="13"/>
    </row>
    <row r="46" customFormat="false" ht="15" hidden="false" customHeight="false" outlineLevel="0" collapsed="false">
      <c r="L46" s="13"/>
    </row>
    <row r="47" customFormat="false" ht="15" hidden="false" customHeight="false" outlineLevel="0" collapsed="false">
      <c r="L47" s="13"/>
    </row>
    <row r="48" customFormat="false" ht="15" hidden="false" customHeight="false" outlineLevel="0" collapsed="false">
      <c r="L48" s="13"/>
    </row>
    <row r="49" customFormat="false" ht="15" hidden="false" customHeight="false" outlineLevel="0" collapsed="false">
      <c r="L49" s="13"/>
    </row>
    <row r="50" customFormat="false" ht="15" hidden="false" customHeight="false" outlineLevel="0" collapsed="false">
      <c r="L50" s="13"/>
    </row>
    <row r="51" customFormat="false" ht="15" hidden="false" customHeight="false" outlineLevel="0" collapsed="false">
      <c r="L51" s="13"/>
    </row>
    <row r="52" customFormat="false" ht="15" hidden="false" customHeight="false" outlineLevel="0" collapsed="false">
      <c r="L52" s="13"/>
    </row>
    <row r="53" customFormat="false" ht="15" hidden="false" customHeight="false" outlineLevel="0" collapsed="false">
      <c r="L53" s="13"/>
    </row>
    <row r="54" customFormat="false" ht="15" hidden="false" customHeight="false" outlineLevel="0" collapsed="false">
      <c r="L54" s="13"/>
    </row>
    <row r="55" customFormat="false" ht="15" hidden="false" customHeight="false" outlineLevel="0" collapsed="false">
      <c r="L55" s="13"/>
    </row>
    <row r="56" customFormat="false" ht="15" hidden="false" customHeight="false" outlineLevel="0" collapsed="false">
      <c r="L56" s="13"/>
    </row>
    <row r="57" customFormat="false" ht="15" hidden="false" customHeight="false" outlineLevel="0" collapsed="false">
      <c r="L57" s="13"/>
    </row>
    <row r="58" customFormat="false" ht="15" hidden="false" customHeight="false" outlineLevel="0" collapsed="false">
      <c r="L58" s="13"/>
    </row>
    <row r="59" customFormat="false" ht="15" hidden="false" customHeight="false" outlineLevel="0" collapsed="false">
      <c r="L59" s="13"/>
    </row>
    <row r="60" customFormat="false" ht="15" hidden="false" customHeight="false" outlineLevel="0" collapsed="false">
      <c r="L60" s="13"/>
    </row>
    <row r="61" customFormat="false" ht="15" hidden="false" customHeight="false" outlineLevel="0" collapsed="false">
      <c r="L61" s="13"/>
    </row>
    <row r="62" customFormat="false" ht="15" hidden="false" customHeight="false" outlineLevel="0" collapsed="false">
      <c r="L62" s="13"/>
    </row>
    <row r="63" customFormat="false" ht="15" hidden="false" customHeight="false" outlineLevel="0" collapsed="false">
      <c r="L63" s="13"/>
    </row>
    <row r="64" customFormat="false" ht="15" hidden="false" customHeight="false" outlineLevel="0" collapsed="false">
      <c r="L64" s="13"/>
    </row>
    <row r="65" customFormat="false" ht="15" hidden="false" customHeight="false" outlineLevel="0" collapsed="false">
      <c r="L65" s="13"/>
    </row>
    <row r="66" customFormat="false" ht="15" hidden="false" customHeight="false" outlineLevel="0" collapsed="false">
      <c r="L66" s="13"/>
    </row>
    <row r="67" customFormat="false" ht="15" hidden="false" customHeight="false" outlineLevel="0" collapsed="false">
      <c r="L67" s="13"/>
    </row>
    <row r="68" customFormat="false" ht="15" hidden="false" customHeight="false" outlineLevel="0" collapsed="false">
      <c r="L68" s="13"/>
    </row>
    <row r="69" customFormat="false" ht="15" hidden="false" customHeight="false" outlineLevel="0" collapsed="false">
      <c r="L69" s="13"/>
    </row>
    <row r="70" customFormat="false" ht="15" hidden="false" customHeight="false" outlineLevel="0" collapsed="false">
      <c r="L70" s="13"/>
    </row>
    <row r="71" customFormat="false" ht="15" hidden="false" customHeight="false" outlineLevel="0" collapsed="false">
      <c r="L71" s="13"/>
    </row>
    <row r="72" customFormat="false" ht="15" hidden="false" customHeight="false" outlineLevel="0" collapsed="false">
      <c r="L72" s="13"/>
    </row>
    <row r="73" customFormat="false" ht="15" hidden="false" customHeight="false" outlineLevel="0" collapsed="false">
      <c r="L73" s="13"/>
    </row>
    <row r="74" customFormat="false" ht="15" hidden="false" customHeight="false" outlineLevel="0" collapsed="false">
      <c r="L74" s="13"/>
    </row>
    <row r="75" customFormat="false" ht="15" hidden="false" customHeight="false" outlineLevel="0" collapsed="false">
      <c r="L75" s="13"/>
    </row>
    <row r="76" customFormat="false" ht="15" hidden="false" customHeight="false" outlineLevel="0" collapsed="false">
      <c r="L76" s="13"/>
    </row>
    <row r="77" customFormat="false" ht="15" hidden="false" customHeight="false" outlineLevel="0" collapsed="false">
      <c r="L77" s="13"/>
    </row>
    <row r="78" customFormat="false" ht="15" hidden="false" customHeight="false" outlineLevel="0" collapsed="false">
      <c r="L78" s="13"/>
    </row>
    <row r="79" customFormat="false" ht="15" hidden="false" customHeight="false" outlineLevel="0" collapsed="false">
      <c r="L79" s="13"/>
    </row>
    <row r="80" customFormat="false" ht="15" hidden="false" customHeight="false" outlineLevel="0" collapsed="false">
      <c r="L80" s="13"/>
    </row>
    <row r="81" customFormat="false" ht="15" hidden="false" customHeight="false" outlineLevel="0" collapsed="false">
      <c r="L81" s="13"/>
    </row>
    <row r="82" customFormat="false" ht="15" hidden="false" customHeight="false" outlineLevel="0" collapsed="false">
      <c r="L82" s="13"/>
    </row>
    <row r="83" customFormat="false" ht="15" hidden="false" customHeight="false" outlineLevel="0" collapsed="false">
      <c r="L83" s="13"/>
    </row>
    <row r="84" customFormat="false" ht="15" hidden="false" customHeight="false" outlineLevel="0" collapsed="false">
      <c r="L84" s="13"/>
    </row>
    <row r="85" customFormat="false" ht="15" hidden="false" customHeight="false" outlineLevel="0" collapsed="false">
      <c r="L85" s="13"/>
    </row>
    <row r="86" customFormat="false" ht="15" hidden="false" customHeight="false" outlineLevel="0" collapsed="false">
      <c r="L86" s="13"/>
    </row>
    <row r="87" customFormat="false" ht="15" hidden="false" customHeight="false" outlineLevel="0" collapsed="false">
      <c r="L87" s="13"/>
    </row>
    <row r="88" customFormat="false" ht="15" hidden="false" customHeight="false" outlineLevel="0" collapsed="false">
      <c r="L88" s="13"/>
    </row>
    <row r="89" customFormat="false" ht="15" hidden="false" customHeight="false" outlineLevel="0" collapsed="false">
      <c r="L89" s="13"/>
    </row>
    <row r="90" customFormat="false" ht="15" hidden="false" customHeight="false" outlineLevel="0" collapsed="false">
      <c r="L90" s="13"/>
    </row>
    <row r="91" customFormat="false" ht="15" hidden="false" customHeight="false" outlineLevel="0" collapsed="false">
      <c r="L91" s="13"/>
    </row>
    <row r="92" customFormat="false" ht="15" hidden="false" customHeight="false" outlineLevel="0" collapsed="false">
      <c r="L92" s="13"/>
    </row>
    <row r="93" customFormat="false" ht="15" hidden="false" customHeight="false" outlineLevel="0" collapsed="false">
      <c r="L93" s="13"/>
    </row>
    <row r="94" customFormat="false" ht="15" hidden="false" customHeight="false" outlineLevel="0" collapsed="false">
      <c r="L94" s="13"/>
    </row>
    <row r="95" customFormat="false" ht="15" hidden="false" customHeight="false" outlineLevel="0" collapsed="false">
      <c r="L95" s="13"/>
    </row>
    <row r="96" customFormat="false" ht="15" hidden="false" customHeight="false" outlineLevel="0" collapsed="false">
      <c r="L96" s="13"/>
    </row>
    <row r="97" customFormat="false" ht="15" hidden="false" customHeight="false" outlineLevel="0" collapsed="false">
      <c r="L97" s="13"/>
    </row>
    <row r="98" customFormat="false" ht="15" hidden="false" customHeight="false" outlineLevel="0" collapsed="false">
      <c r="L98" s="13"/>
    </row>
    <row r="99" customFormat="false" ht="15" hidden="false" customHeight="false" outlineLevel="0" collapsed="false">
      <c r="L99" s="13"/>
    </row>
    <row r="100" customFormat="false" ht="15" hidden="false" customHeight="false" outlineLevel="0" collapsed="false">
      <c r="L100" s="13"/>
    </row>
  </sheetData>
  <autoFilter ref="A1:M100"/>
  <dataValidations count="3">
    <dataValidation allowBlank="true" errorStyle="stop" operator="between" showDropDown="false" showErrorMessage="false" showInputMessage="false" sqref="D2:D100" type="list">
      <formula1>選択肢!$B$2:$B$6</formula1>
      <formula2>0</formula2>
    </dataValidation>
    <dataValidation allowBlank="true" errorStyle="stop" operator="between" showDropDown="false" showErrorMessage="false" showInputMessage="false" sqref="F2:F100" type="list">
      <formula1>選択肢!$C$2:$C$4</formula1>
      <formula2>0</formula2>
    </dataValidation>
    <dataValidation allowBlank="true" errorStyle="stop" operator="between" showDropDown="false" showErrorMessage="false" showInputMessage="false" sqref="K2:K100" type="list">
      <formula1>選択肢!$A$2:$A$7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8" min="7" style="0" width="2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2.8" hidden="false" customHeight="false" outlineLevel="0" collapsed="false">
      <c r="A1" s="8" t="s">
        <v>106</v>
      </c>
      <c r="B1" s="9" t="s">
        <v>124</v>
      </c>
      <c r="C1" s="9" t="s">
        <v>125</v>
      </c>
      <c r="D1" s="9" t="s">
        <v>126</v>
      </c>
      <c r="E1" s="9" t="s">
        <v>127</v>
      </c>
      <c r="F1" s="9" t="s">
        <v>128</v>
      </c>
      <c r="G1" s="9" t="s">
        <v>129</v>
      </c>
      <c r="H1" s="9" t="s">
        <v>112</v>
      </c>
      <c r="I1" s="9" t="s">
        <v>31</v>
      </c>
      <c r="J1" s="9" t="s">
        <v>15</v>
      </c>
      <c r="K1" s="9" t="s">
        <v>115</v>
      </c>
      <c r="L1" s="9" t="s">
        <v>116</v>
      </c>
    </row>
    <row r="2" customFormat="false" ht="32.8" hidden="false" customHeight="false" outlineLevel="0" collapsed="false">
      <c r="A2" s="10" t="s">
        <v>130</v>
      </c>
      <c r="B2" s="10" t="s">
        <v>131</v>
      </c>
      <c r="C2" s="11" t="s">
        <v>132</v>
      </c>
      <c r="D2" s="11" t="s">
        <v>39</v>
      </c>
      <c r="E2" s="10" t="s">
        <v>40</v>
      </c>
      <c r="F2" s="10" t="s">
        <v>133</v>
      </c>
      <c r="G2" s="10"/>
      <c r="H2" s="10"/>
      <c r="I2" s="11" t="s">
        <v>38</v>
      </c>
      <c r="J2" s="11" t="s">
        <v>22</v>
      </c>
      <c r="K2" s="12" t="n">
        <v>46322</v>
      </c>
      <c r="L2" s="11" t="s">
        <v>134</v>
      </c>
    </row>
    <row r="3" customFormat="false" ht="15" hidden="false" customHeight="false" outlineLevel="0" collapsed="false">
      <c r="K3" s="13"/>
    </row>
    <row r="4" customFormat="false" ht="15" hidden="false" customHeight="false" outlineLevel="0" collapsed="false">
      <c r="K4" s="13"/>
    </row>
    <row r="5" customFormat="false" ht="15" hidden="false" customHeight="false" outlineLevel="0" collapsed="false">
      <c r="K5" s="13"/>
    </row>
    <row r="6" customFormat="false" ht="15" hidden="false" customHeight="false" outlineLevel="0" collapsed="false">
      <c r="K6" s="13"/>
    </row>
    <row r="7" customFormat="false" ht="15" hidden="false" customHeight="false" outlineLevel="0" collapsed="false">
      <c r="K7" s="13"/>
    </row>
    <row r="8" customFormat="false" ht="15" hidden="false" customHeight="false" outlineLevel="0" collapsed="false">
      <c r="K8" s="13"/>
    </row>
    <row r="9" customFormat="false" ht="15" hidden="false" customHeight="false" outlineLevel="0" collapsed="false">
      <c r="K9" s="13"/>
    </row>
    <row r="10" customFormat="false" ht="15" hidden="false" customHeight="false" outlineLevel="0" collapsed="false">
      <c r="K10" s="13"/>
    </row>
    <row r="11" customFormat="false" ht="15" hidden="false" customHeight="false" outlineLevel="0" collapsed="false">
      <c r="K11" s="13"/>
    </row>
    <row r="12" customFormat="false" ht="15" hidden="false" customHeight="false" outlineLevel="0" collapsed="false">
      <c r="K12" s="13"/>
    </row>
    <row r="13" customFormat="false" ht="15" hidden="false" customHeight="false" outlineLevel="0" collapsed="false">
      <c r="K13" s="13"/>
    </row>
    <row r="14" customFormat="false" ht="15" hidden="false" customHeight="false" outlineLevel="0" collapsed="false">
      <c r="K14" s="13"/>
    </row>
    <row r="15" customFormat="false" ht="15" hidden="false" customHeight="false" outlineLevel="0" collapsed="false">
      <c r="K15" s="13"/>
    </row>
    <row r="16" customFormat="false" ht="15" hidden="false" customHeight="false" outlineLevel="0" collapsed="false">
      <c r="K16" s="13"/>
    </row>
    <row r="17" customFormat="false" ht="15" hidden="false" customHeight="false" outlineLevel="0" collapsed="false">
      <c r="K17" s="13"/>
    </row>
    <row r="18" customFormat="false" ht="15" hidden="false" customHeight="false" outlineLevel="0" collapsed="false">
      <c r="K18" s="13"/>
    </row>
    <row r="19" customFormat="false" ht="15" hidden="false" customHeight="false" outlineLevel="0" collapsed="false">
      <c r="K19" s="13"/>
    </row>
    <row r="20" customFormat="false" ht="15" hidden="false" customHeight="false" outlineLevel="0" collapsed="false">
      <c r="K20" s="13"/>
    </row>
    <row r="21" customFormat="false" ht="15" hidden="false" customHeight="false" outlineLevel="0" collapsed="false">
      <c r="K21" s="13"/>
    </row>
    <row r="22" customFormat="false" ht="15" hidden="false" customHeight="false" outlineLevel="0" collapsed="false">
      <c r="K22" s="13"/>
    </row>
    <row r="23" customFormat="false" ht="15" hidden="false" customHeight="false" outlineLevel="0" collapsed="false">
      <c r="K23" s="13"/>
    </row>
    <row r="24" customFormat="false" ht="15" hidden="false" customHeight="false" outlineLevel="0" collapsed="false">
      <c r="K24" s="13"/>
    </row>
    <row r="25" customFormat="false" ht="15" hidden="false" customHeight="false" outlineLevel="0" collapsed="false">
      <c r="K25" s="13"/>
    </row>
    <row r="26" customFormat="false" ht="15" hidden="false" customHeight="false" outlineLevel="0" collapsed="false">
      <c r="K26" s="13"/>
    </row>
    <row r="27" customFormat="false" ht="15" hidden="false" customHeight="false" outlineLevel="0" collapsed="false">
      <c r="K27" s="13"/>
    </row>
    <row r="28" customFormat="false" ht="15" hidden="false" customHeight="false" outlineLevel="0" collapsed="false">
      <c r="K28" s="13"/>
    </row>
    <row r="29" customFormat="false" ht="15" hidden="false" customHeight="false" outlineLevel="0" collapsed="false">
      <c r="K29" s="13"/>
    </row>
    <row r="30" customFormat="false" ht="15" hidden="false" customHeight="false" outlineLevel="0" collapsed="false">
      <c r="K30" s="13"/>
    </row>
    <row r="31" customFormat="false" ht="15" hidden="false" customHeight="false" outlineLevel="0" collapsed="false">
      <c r="K31" s="13"/>
    </row>
    <row r="32" customFormat="false" ht="15" hidden="false" customHeight="false" outlineLevel="0" collapsed="false">
      <c r="K32" s="13"/>
    </row>
    <row r="33" customFormat="false" ht="15" hidden="false" customHeight="false" outlineLevel="0" collapsed="false">
      <c r="K33" s="13"/>
    </row>
    <row r="34" customFormat="false" ht="15" hidden="false" customHeight="false" outlineLevel="0" collapsed="false">
      <c r="K34" s="13"/>
    </row>
    <row r="35" customFormat="false" ht="15" hidden="false" customHeight="false" outlineLevel="0" collapsed="false">
      <c r="K35" s="13"/>
    </row>
    <row r="36" customFormat="false" ht="15" hidden="false" customHeight="false" outlineLevel="0" collapsed="false">
      <c r="K36" s="13"/>
    </row>
    <row r="37" customFormat="false" ht="15" hidden="false" customHeight="false" outlineLevel="0" collapsed="false">
      <c r="K37" s="13"/>
    </row>
    <row r="38" customFormat="false" ht="15" hidden="false" customHeight="false" outlineLevel="0" collapsed="false">
      <c r="K38" s="13"/>
    </row>
    <row r="39" customFormat="false" ht="15" hidden="false" customHeight="false" outlineLevel="0" collapsed="false">
      <c r="K39" s="13"/>
    </row>
    <row r="40" customFormat="false" ht="15" hidden="false" customHeight="false" outlineLevel="0" collapsed="false">
      <c r="K40" s="13"/>
    </row>
    <row r="41" customFormat="false" ht="15" hidden="false" customHeight="false" outlineLevel="0" collapsed="false">
      <c r="K41" s="13"/>
    </row>
    <row r="42" customFormat="false" ht="15" hidden="false" customHeight="false" outlineLevel="0" collapsed="false">
      <c r="K42" s="13"/>
    </row>
    <row r="43" customFormat="false" ht="15" hidden="false" customHeight="false" outlineLevel="0" collapsed="false">
      <c r="K43" s="13"/>
    </row>
    <row r="44" customFormat="false" ht="15" hidden="false" customHeight="false" outlineLevel="0" collapsed="false">
      <c r="K44" s="13"/>
    </row>
    <row r="45" customFormat="false" ht="15" hidden="false" customHeight="false" outlineLevel="0" collapsed="false">
      <c r="K45" s="13"/>
    </row>
    <row r="46" customFormat="false" ht="15" hidden="false" customHeight="false" outlineLevel="0" collapsed="false">
      <c r="K46" s="13"/>
    </row>
    <row r="47" customFormat="false" ht="15" hidden="false" customHeight="false" outlineLevel="0" collapsed="false">
      <c r="K47" s="13"/>
    </row>
    <row r="48" customFormat="false" ht="15" hidden="false" customHeight="false" outlineLevel="0" collapsed="false">
      <c r="K48" s="13"/>
    </row>
    <row r="49" customFormat="false" ht="15" hidden="false" customHeight="false" outlineLevel="0" collapsed="false">
      <c r="K49" s="13"/>
    </row>
    <row r="50" customFormat="false" ht="15" hidden="false" customHeight="false" outlineLevel="0" collapsed="false">
      <c r="K50" s="13"/>
    </row>
    <row r="51" customFormat="false" ht="15" hidden="false" customHeight="false" outlineLevel="0" collapsed="false">
      <c r="K51" s="13"/>
    </row>
    <row r="52" customFormat="false" ht="15" hidden="false" customHeight="false" outlineLevel="0" collapsed="false">
      <c r="K52" s="13"/>
    </row>
    <row r="53" customFormat="false" ht="15" hidden="false" customHeight="false" outlineLevel="0" collapsed="false">
      <c r="K53" s="13"/>
    </row>
    <row r="54" customFormat="false" ht="15" hidden="false" customHeight="false" outlineLevel="0" collapsed="false">
      <c r="K54" s="13"/>
    </row>
    <row r="55" customFormat="false" ht="15" hidden="false" customHeight="false" outlineLevel="0" collapsed="false">
      <c r="K55" s="13"/>
    </row>
    <row r="56" customFormat="false" ht="15" hidden="false" customHeight="false" outlineLevel="0" collapsed="false">
      <c r="K56" s="13"/>
    </row>
    <row r="57" customFormat="false" ht="15" hidden="false" customHeight="false" outlineLevel="0" collapsed="false">
      <c r="K57" s="13"/>
    </row>
    <row r="58" customFormat="false" ht="15" hidden="false" customHeight="false" outlineLevel="0" collapsed="false">
      <c r="K58" s="13"/>
    </row>
    <row r="59" customFormat="false" ht="15" hidden="false" customHeight="false" outlineLevel="0" collapsed="false">
      <c r="K59" s="13"/>
    </row>
    <row r="60" customFormat="false" ht="15" hidden="false" customHeight="false" outlineLevel="0" collapsed="false">
      <c r="K60" s="13"/>
    </row>
    <row r="61" customFormat="false" ht="15" hidden="false" customHeight="false" outlineLevel="0" collapsed="false">
      <c r="K61" s="13"/>
    </row>
    <row r="62" customFormat="false" ht="15" hidden="false" customHeight="false" outlineLevel="0" collapsed="false">
      <c r="K62" s="13"/>
    </row>
    <row r="63" customFormat="false" ht="15" hidden="false" customHeight="false" outlineLevel="0" collapsed="false">
      <c r="K63" s="13"/>
    </row>
    <row r="64" customFormat="false" ht="15" hidden="false" customHeight="false" outlineLevel="0" collapsed="false">
      <c r="K64" s="13"/>
    </row>
    <row r="65" customFormat="false" ht="15" hidden="false" customHeight="false" outlineLevel="0" collapsed="false">
      <c r="K65" s="13"/>
    </row>
    <row r="66" customFormat="false" ht="15" hidden="false" customHeight="false" outlineLevel="0" collapsed="false">
      <c r="K66" s="13"/>
    </row>
    <row r="67" customFormat="false" ht="15" hidden="false" customHeight="false" outlineLevel="0" collapsed="false">
      <c r="K67" s="13"/>
    </row>
    <row r="68" customFormat="false" ht="15" hidden="false" customHeight="false" outlineLevel="0" collapsed="false">
      <c r="K68" s="13"/>
    </row>
    <row r="69" customFormat="false" ht="15" hidden="false" customHeight="false" outlineLevel="0" collapsed="false">
      <c r="K69" s="13"/>
    </row>
    <row r="70" customFormat="false" ht="15" hidden="false" customHeight="false" outlineLevel="0" collapsed="false">
      <c r="K70" s="13"/>
    </row>
    <row r="71" customFormat="false" ht="15" hidden="false" customHeight="false" outlineLevel="0" collapsed="false">
      <c r="K71" s="13"/>
    </row>
    <row r="72" customFormat="false" ht="15" hidden="false" customHeight="false" outlineLevel="0" collapsed="false">
      <c r="K72" s="13"/>
    </row>
    <row r="73" customFormat="false" ht="15" hidden="false" customHeight="false" outlineLevel="0" collapsed="false">
      <c r="K73" s="13"/>
    </row>
    <row r="74" customFormat="false" ht="15" hidden="false" customHeight="false" outlineLevel="0" collapsed="false">
      <c r="K74" s="13"/>
    </row>
    <row r="75" customFormat="false" ht="15" hidden="false" customHeight="false" outlineLevel="0" collapsed="false">
      <c r="K75" s="13"/>
    </row>
    <row r="76" customFormat="false" ht="15" hidden="false" customHeight="false" outlineLevel="0" collapsed="false">
      <c r="K76" s="13"/>
    </row>
    <row r="77" customFormat="false" ht="15" hidden="false" customHeight="false" outlineLevel="0" collapsed="false">
      <c r="K77" s="13"/>
    </row>
    <row r="78" customFormat="false" ht="15" hidden="false" customHeight="false" outlineLevel="0" collapsed="false">
      <c r="K78" s="13"/>
    </row>
    <row r="79" customFormat="false" ht="15" hidden="false" customHeight="false" outlineLevel="0" collapsed="false">
      <c r="K79" s="13"/>
    </row>
    <row r="80" customFormat="false" ht="15" hidden="false" customHeight="false" outlineLevel="0" collapsed="false">
      <c r="K80" s="13"/>
    </row>
    <row r="81" customFormat="false" ht="15" hidden="false" customHeight="false" outlineLevel="0" collapsed="false">
      <c r="K81" s="13"/>
    </row>
    <row r="82" customFormat="false" ht="15" hidden="false" customHeight="false" outlineLevel="0" collapsed="false">
      <c r="K82" s="13"/>
    </row>
    <row r="83" customFormat="false" ht="15" hidden="false" customHeight="false" outlineLevel="0" collapsed="false">
      <c r="K83" s="13"/>
    </row>
    <row r="84" customFormat="false" ht="15" hidden="false" customHeight="false" outlineLevel="0" collapsed="false">
      <c r="K84" s="13"/>
    </row>
    <row r="85" customFormat="false" ht="15" hidden="false" customHeight="false" outlineLevel="0" collapsed="false">
      <c r="K85" s="13"/>
    </row>
    <row r="86" customFormat="false" ht="15" hidden="false" customHeight="false" outlineLevel="0" collapsed="false">
      <c r="K86" s="13"/>
    </row>
    <row r="87" customFormat="false" ht="15" hidden="false" customHeight="false" outlineLevel="0" collapsed="false">
      <c r="K87" s="13"/>
    </row>
    <row r="88" customFormat="false" ht="15" hidden="false" customHeight="false" outlineLevel="0" collapsed="false">
      <c r="K88" s="13"/>
    </row>
    <row r="89" customFormat="false" ht="15" hidden="false" customHeight="false" outlineLevel="0" collapsed="false">
      <c r="K89" s="13"/>
    </row>
    <row r="90" customFormat="false" ht="15" hidden="false" customHeight="false" outlineLevel="0" collapsed="false">
      <c r="K90" s="13"/>
    </row>
    <row r="91" customFormat="false" ht="15" hidden="false" customHeight="false" outlineLevel="0" collapsed="false">
      <c r="K91" s="13"/>
    </row>
    <row r="92" customFormat="false" ht="15" hidden="false" customHeight="false" outlineLevel="0" collapsed="false">
      <c r="K92" s="13"/>
    </row>
    <row r="93" customFormat="false" ht="15" hidden="false" customHeight="false" outlineLevel="0" collapsed="false">
      <c r="K93" s="13"/>
    </row>
    <row r="94" customFormat="false" ht="15" hidden="false" customHeight="false" outlineLevel="0" collapsed="false">
      <c r="K94" s="13"/>
    </row>
    <row r="95" customFormat="false" ht="15" hidden="false" customHeight="false" outlineLevel="0" collapsed="false">
      <c r="K95" s="13"/>
    </row>
    <row r="96" customFormat="false" ht="15" hidden="false" customHeight="false" outlineLevel="0" collapsed="false">
      <c r="K96" s="13"/>
    </row>
    <row r="97" customFormat="false" ht="15" hidden="false" customHeight="false" outlineLevel="0" collapsed="false">
      <c r="K97" s="13"/>
    </row>
    <row r="98" customFormat="false" ht="15" hidden="false" customHeight="false" outlineLevel="0" collapsed="false">
      <c r="K98" s="13"/>
    </row>
    <row r="99" customFormat="false" ht="15" hidden="false" customHeight="false" outlineLevel="0" collapsed="false">
      <c r="K99" s="13"/>
    </row>
    <row r="100" customFormat="false" ht="15" hidden="false" customHeight="false" outlineLevel="0" collapsed="false">
      <c r="K100" s="13"/>
    </row>
  </sheetData>
  <autoFilter ref="A1:L100"/>
  <dataValidations count="4">
    <dataValidation allowBlank="true" errorStyle="stop" operator="between" showDropDown="false" showErrorMessage="false" showInputMessage="false" sqref="D2:D100" type="list">
      <formula1>選択肢!$D$2:$D$5</formula1>
      <formula2>0</formula2>
    </dataValidation>
    <dataValidation allowBlank="true" errorStyle="stop" operator="between" showDropDown="false" showErrorMessage="false" showInputMessage="false" sqref="E2:E100" type="list">
      <formula1>選択肢!$E$2:$E$7</formula1>
      <formula2>0</formula2>
    </dataValidation>
    <dataValidation allowBlank="true" errorStyle="stop" operator="between" showDropDown="false" showErrorMessage="false" showInputMessage="false" sqref="I2:I100" type="list">
      <formula1>選択肢!$F$2:$F$4</formula1>
      <formula2>0</formula2>
    </dataValidation>
    <dataValidation allowBlank="true" errorStyle="stop" operator="between" showDropDown="false" showErrorMessage="false" showInputMessage="false" sqref="J2:J100" type="list">
      <formula1>選択肢!$A$2:$A$7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48.5" hidden="false" customHeight="false" outlineLevel="0" collapsed="false">
      <c r="A1" s="8" t="s">
        <v>106</v>
      </c>
      <c r="B1" s="9" t="s">
        <v>135</v>
      </c>
      <c r="C1" s="8" t="s">
        <v>136</v>
      </c>
      <c r="D1" s="9" t="s">
        <v>137</v>
      </c>
      <c r="E1" s="9" t="s">
        <v>138</v>
      </c>
      <c r="F1" s="9" t="s">
        <v>139</v>
      </c>
      <c r="G1" s="9" t="s">
        <v>33</v>
      </c>
      <c r="H1" s="8" t="s">
        <v>140</v>
      </c>
      <c r="I1" s="9" t="s">
        <v>141</v>
      </c>
      <c r="J1" s="8" t="s">
        <v>142</v>
      </c>
      <c r="K1" s="9" t="s">
        <v>15</v>
      </c>
      <c r="L1" s="9" t="s">
        <v>115</v>
      </c>
      <c r="M1" s="9" t="s">
        <v>116</v>
      </c>
    </row>
    <row r="2" customFormat="false" ht="32.8" hidden="false" customHeight="false" outlineLevel="0" collapsed="false">
      <c r="A2" s="10" t="s">
        <v>143</v>
      </c>
      <c r="B2" s="10" t="s">
        <v>80</v>
      </c>
      <c r="C2" s="10" t="s">
        <v>144</v>
      </c>
      <c r="D2" s="10" t="s">
        <v>41</v>
      </c>
      <c r="E2" s="10" t="s">
        <v>145</v>
      </c>
      <c r="F2" s="11" t="s">
        <v>146</v>
      </c>
      <c r="G2" s="10" t="s">
        <v>52</v>
      </c>
      <c r="H2" s="10" t="str">
        <f aca="false">IF(B2="","",IFERROR(INDEX(選択肢!$L$2:$L$34,MATCH(B2,選択肢!$K$2:$K$34,0)),"要確認"))</f>
        <v>いいえ</v>
      </c>
      <c r="I2" s="11" t="s">
        <v>43</v>
      </c>
      <c r="J2" s="10" t="n">
        <v>30</v>
      </c>
      <c r="K2" s="11" t="s">
        <v>23</v>
      </c>
      <c r="L2" s="12" t="n">
        <v>46322</v>
      </c>
      <c r="M2" s="11" t="s">
        <v>134</v>
      </c>
    </row>
    <row r="3" customFormat="false" ht="15" hidden="false" customHeight="false" outlineLevel="0" collapsed="false">
      <c r="H3" s="2" t="str">
        <f aca="false">IF(B3="","",IFERROR(INDEX(選択肢!$L$2:$L$34,MATCH(B3,選択肢!$K$2:$K$34,0)),"要確認"))</f>
        <v/>
      </c>
      <c r="L3" s="13"/>
    </row>
    <row r="4" customFormat="false" ht="15" hidden="false" customHeight="false" outlineLevel="0" collapsed="false">
      <c r="H4" s="2" t="str">
        <f aca="false">IF(B4="","",IFERROR(INDEX(選択肢!$L$2:$L$34,MATCH(B4,選択肢!$K$2:$K$34,0)),"要確認"))</f>
        <v/>
      </c>
      <c r="L4" s="13"/>
    </row>
    <row r="5" customFormat="false" ht="15" hidden="false" customHeight="false" outlineLevel="0" collapsed="false">
      <c r="H5" s="2" t="str">
        <f aca="false">IF(B5="","",IFERROR(INDEX(選択肢!$L$2:$L$34,MATCH(B5,選択肢!$K$2:$K$34,0)),"要確認"))</f>
        <v/>
      </c>
      <c r="L5" s="13"/>
    </row>
    <row r="6" customFormat="false" ht="15" hidden="false" customHeight="false" outlineLevel="0" collapsed="false">
      <c r="H6" s="2" t="str">
        <f aca="false">IF(B6="","",IFERROR(INDEX(選択肢!$L$2:$L$34,MATCH(B6,選択肢!$K$2:$K$34,0)),"要確認"))</f>
        <v/>
      </c>
      <c r="L6" s="13"/>
    </row>
    <row r="7" customFormat="false" ht="15" hidden="false" customHeight="false" outlineLevel="0" collapsed="false">
      <c r="H7" s="2" t="str">
        <f aca="false">IF(B7="","",IFERROR(INDEX(選択肢!$L$2:$L$34,MATCH(B7,選択肢!$K$2:$K$34,0)),"要確認"))</f>
        <v/>
      </c>
      <c r="L7" s="13"/>
    </row>
    <row r="8" customFormat="false" ht="15" hidden="false" customHeight="false" outlineLevel="0" collapsed="false">
      <c r="H8" s="2" t="str">
        <f aca="false">IF(B8="","",IFERROR(INDEX(選択肢!$L$2:$L$34,MATCH(B8,選択肢!$K$2:$K$34,0)),"要確認"))</f>
        <v/>
      </c>
      <c r="L8" s="13"/>
    </row>
    <row r="9" customFormat="false" ht="15" hidden="false" customHeight="false" outlineLevel="0" collapsed="false">
      <c r="H9" s="2" t="str">
        <f aca="false">IF(B9="","",IFERROR(INDEX(選択肢!$L$2:$L$34,MATCH(B9,選択肢!$K$2:$K$34,0)),"要確認"))</f>
        <v/>
      </c>
      <c r="L9" s="13"/>
    </row>
    <row r="10" customFormat="false" ht="15" hidden="false" customHeight="false" outlineLevel="0" collapsed="false">
      <c r="H10" s="2" t="str">
        <f aca="false">IF(B10="","",IFERROR(INDEX(選択肢!$L$2:$L$34,MATCH(B10,選択肢!$K$2:$K$34,0)),"要確認"))</f>
        <v/>
      </c>
      <c r="L10" s="13"/>
    </row>
    <row r="11" customFormat="false" ht="15" hidden="false" customHeight="false" outlineLevel="0" collapsed="false">
      <c r="H11" s="2" t="str">
        <f aca="false">IF(B11="","",IFERROR(INDEX(選択肢!$L$2:$L$34,MATCH(B11,選択肢!$K$2:$K$34,0)),"要確認"))</f>
        <v/>
      </c>
      <c r="L11" s="13"/>
    </row>
    <row r="12" customFormat="false" ht="15" hidden="false" customHeight="false" outlineLevel="0" collapsed="false">
      <c r="H12" s="2" t="str">
        <f aca="false">IF(B12="","",IFERROR(INDEX(選択肢!$L$2:$L$34,MATCH(B12,選択肢!$K$2:$K$34,0)),"要確認"))</f>
        <v/>
      </c>
      <c r="L12" s="13"/>
    </row>
    <row r="13" customFormat="false" ht="15" hidden="false" customHeight="false" outlineLevel="0" collapsed="false">
      <c r="H13" s="2" t="str">
        <f aca="false">IF(B13="","",IFERROR(INDEX(選択肢!$L$2:$L$34,MATCH(B13,選択肢!$K$2:$K$34,0)),"要確認"))</f>
        <v/>
      </c>
      <c r="L13" s="13"/>
    </row>
    <row r="14" customFormat="false" ht="15" hidden="false" customHeight="false" outlineLevel="0" collapsed="false">
      <c r="H14" s="2" t="str">
        <f aca="false">IF(B14="","",IFERROR(INDEX(選択肢!$L$2:$L$34,MATCH(B14,選択肢!$K$2:$K$34,0)),"要確認"))</f>
        <v/>
      </c>
      <c r="L14" s="13"/>
    </row>
    <row r="15" customFormat="false" ht="15" hidden="false" customHeight="false" outlineLevel="0" collapsed="false">
      <c r="H15" s="2" t="str">
        <f aca="false">IF(B15="","",IFERROR(INDEX(選択肢!$L$2:$L$34,MATCH(B15,選択肢!$K$2:$K$34,0)),"要確認"))</f>
        <v/>
      </c>
      <c r="L15" s="13"/>
    </row>
    <row r="16" customFormat="false" ht="15" hidden="false" customHeight="false" outlineLevel="0" collapsed="false">
      <c r="H16" s="2" t="str">
        <f aca="false">IF(B16="","",IFERROR(INDEX(選択肢!$L$2:$L$34,MATCH(B16,選択肢!$K$2:$K$34,0)),"要確認"))</f>
        <v/>
      </c>
      <c r="L16" s="13"/>
    </row>
    <row r="17" customFormat="false" ht="15" hidden="false" customHeight="false" outlineLevel="0" collapsed="false">
      <c r="H17" s="2" t="str">
        <f aca="false">IF(B17="","",IFERROR(INDEX(選択肢!$L$2:$L$34,MATCH(B17,選択肢!$K$2:$K$34,0)),"要確認"))</f>
        <v/>
      </c>
      <c r="L17" s="13"/>
    </row>
    <row r="18" customFormat="false" ht="15" hidden="false" customHeight="false" outlineLevel="0" collapsed="false">
      <c r="H18" s="2" t="str">
        <f aca="false">IF(B18="","",IFERROR(INDEX(選択肢!$L$2:$L$34,MATCH(B18,選択肢!$K$2:$K$34,0)),"要確認"))</f>
        <v/>
      </c>
      <c r="L18" s="13"/>
    </row>
    <row r="19" customFormat="false" ht="15" hidden="false" customHeight="false" outlineLevel="0" collapsed="false">
      <c r="H19" s="2" t="str">
        <f aca="false">IF(B19="","",IFERROR(INDEX(選択肢!$L$2:$L$34,MATCH(B19,選択肢!$K$2:$K$34,0)),"要確認"))</f>
        <v/>
      </c>
      <c r="L19" s="13"/>
    </row>
    <row r="20" customFormat="false" ht="15" hidden="false" customHeight="false" outlineLevel="0" collapsed="false">
      <c r="H20" s="2" t="str">
        <f aca="false">IF(B20="","",IFERROR(INDEX(選択肢!$L$2:$L$34,MATCH(B20,選択肢!$K$2:$K$34,0)),"要確認"))</f>
        <v/>
      </c>
      <c r="L20" s="13"/>
    </row>
    <row r="21" customFormat="false" ht="15" hidden="false" customHeight="false" outlineLevel="0" collapsed="false">
      <c r="H21" s="2" t="str">
        <f aca="false">IF(B21="","",IFERROR(INDEX(選択肢!$L$2:$L$34,MATCH(B21,選択肢!$K$2:$K$34,0)),"要確認"))</f>
        <v/>
      </c>
      <c r="L21" s="13"/>
    </row>
    <row r="22" customFormat="false" ht="15" hidden="false" customHeight="false" outlineLevel="0" collapsed="false">
      <c r="H22" s="2" t="str">
        <f aca="false">IF(B22="","",IFERROR(INDEX(選択肢!$L$2:$L$34,MATCH(B22,選択肢!$K$2:$K$34,0)),"要確認"))</f>
        <v/>
      </c>
      <c r="L22" s="13"/>
    </row>
    <row r="23" customFormat="false" ht="15" hidden="false" customHeight="false" outlineLevel="0" collapsed="false">
      <c r="H23" s="2" t="str">
        <f aca="false">IF(B23="","",IFERROR(INDEX(選択肢!$L$2:$L$34,MATCH(B23,選択肢!$K$2:$K$34,0)),"要確認"))</f>
        <v/>
      </c>
      <c r="L23" s="13"/>
    </row>
    <row r="24" customFormat="false" ht="15" hidden="false" customHeight="false" outlineLevel="0" collapsed="false">
      <c r="H24" s="2" t="str">
        <f aca="false">IF(B24="","",IFERROR(INDEX(選択肢!$L$2:$L$34,MATCH(B24,選択肢!$K$2:$K$34,0)),"要確認"))</f>
        <v/>
      </c>
      <c r="L24" s="13"/>
    </row>
    <row r="25" customFormat="false" ht="15" hidden="false" customHeight="false" outlineLevel="0" collapsed="false">
      <c r="H25" s="2" t="str">
        <f aca="false">IF(B25="","",IFERROR(INDEX(選択肢!$L$2:$L$34,MATCH(B25,選択肢!$K$2:$K$34,0)),"要確認"))</f>
        <v/>
      </c>
      <c r="L25" s="13"/>
    </row>
    <row r="26" customFormat="false" ht="15" hidden="false" customHeight="false" outlineLevel="0" collapsed="false">
      <c r="H26" s="2" t="str">
        <f aca="false">IF(B26="","",IFERROR(INDEX(選択肢!$L$2:$L$34,MATCH(B26,選択肢!$K$2:$K$34,0)),"要確認"))</f>
        <v/>
      </c>
      <c r="L26" s="13"/>
    </row>
    <row r="27" customFormat="false" ht="15" hidden="false" customHeight="false" outlineLevel="0" collapsed="false">
      <c r="H27" s="2" t="str">
        <f aca="false">IF(B27="","",IFERROR(INDEX(選択肢!$L$2:$L$34,MATCH(B27,選択肢!$K$2:$K$34,0)),"要確認"))</f>
        <v/>
      </c>
      <c r="L27" s="13"/>
    </row>
    <row r="28" customFormat="false" ht="15" hidden="false" customHeight="false" outlineLevel="0" collapsed="false">
      <c r="H28" s="2" t="str">
        <f aca="false">IF(B28="","",IFERROR(INDEX(選択肢!$L$2:$L$34,MATCH(B28,選択肢!$K$2:$K$34,0)),"要確認"))</f>
        <v/>
      </c>
      <c r="L28" s="13"/>
    </row>
    <row r="29" customFormat="false" ht="15" hidden="false" customHeight="false" outlineLevel="0" collapsed="false">
      <c r="H29" s="2" t="str">
        <f aca="false">IF(B29="","",IFERROR(INDEX(選択肢!$L$2:$L$34,MATCH(B29,選択肢!$K$2:$K$34,0)),"要確認"))</f>
        <v/>
      </c>
      <c r="L29" s="13"/>
    </row>
    <row r="30" customFormat="false" ht="15" hidden="false" customHeight="false" outlineLevel="0" collapsed="false">
      <c r="H30" s="2" t="str">
        <f aca="false">IF(B30="","",IFERROR(INDEX(選択肢!$L$2:$L$34,MATCH(B30,選択肢!$K$2:$K$34,0)),"要確認"))</f>
        <v/>
      </c>
      <c r="L30" s="13"/>
    </row>
    <row r="31" customFormat="false" ht="15" hidden="false" customHeight="false" outlineLevel="0" collapsed="false">
      <c r="H31" s="2" t="str">
        <f aca="false">IF(B31="","",IFERROR(INDEX(選択肢!$L$2:$L$34,MATCH(B31,選択肢!$K$2:$K$34,0)),"要確認"))</f>
        <v/>
      </c>
      <c r="L31" s="13"/>
    </row>
    <row r="32" customFormat="false" ht="15" hidden="false" customHeight="false" outlineLevel="0" collapsed="false">
      <c r="H32" s="2" t="str">
        <f aca="false">IF(B32="","",IFERROR(INDEX(選択肢!$L$2:$L$34,MATCH(B32,選択肢!$K$2:$K$34,0)),"要確認"))</f>
        <v/>
      </c>
      <c r="L32" s="13"/>
    </row>
    <row r="33" customFormat="false" ht="15" hidden="false" customHeight="false" outlineLevel="0" collapsed="false">
      <c r="H33" s="2" t="str">
        <f aca="false">IF(B33="","",IFERROR(INDEX(選択肢!$L$2:$L$34,MATCH(B33,選択肢!$K$2:$K$34,0)),"要確認"))</f>
        <v/>
      </c>
      <c r="L33" s="13"/>
    </row>
    <row r="34" customFormat="false" ht="15" hidden="false" customHeight="false" outlineLevel="0" collapsed="false">
      <c r="H34" s="2" t="str">
        <f aca="false">IF(B34="","",IFERROR(INDEX(選択肢!$L$2:$L$34,MATCH(B34,選択肢!$K$2:$K$34,0)),"要確認"))</f>
        <v/>
      </c>
      <c r="L34" s="13"/>
    </row>
    <row r="35" customFormat="false" ht="15" hidden="false" customHeight="false" outlineLevel="0" collapsed="false">
      <c r="H35" s="2" t="str">
        <f aca="false">IF(B35="","",IFERROR(INDEX(選択肢!$L$2:$L$34,MATCH(B35,選択肢!$K$2:$K$34,0)),"要確認"))</f>
        <v/>
      </c>
      <c r="L35" s="13"/>
    </row>
    <row r="36" customFormat="false" ht="15" hidden="false" customHeight="false" outlineLevel="0" collapsed="false">
      <c r="H36" s="2" t="str">
        <f aca="false">IF(B36="","",IFERROR(INDEX(選択肢!$L$2:$L$34,MATCH(B36,選択肢!$K$2:$K$34,0)),"要確認"))</f>
        <v/>
      </c>
      <c r="L36" s="13"/>
    </row>
    <row r="37" customFormat="false" ht="15" hidden="false" customHeight="false" outlineLevel="0" collapsed="false">
      <c r="H37" s="2" t="str">
        <f aca="false">IF(B37="","",IFERROR(INDEX(選択肢!$L$2:$L$34,MATCH(B37,選択肢!$K$2:$K$34,0)),"要確認"))</f>
        <v/>
      </c>
      <c r="L37" s="13"/>
    </row>
    <row r="38" customFormat="false" ht="15" hidden="false" customHeight="false" outlineLevel="0" collapsed="false">
      <c r="H38" s="2" t="str">
        <f aca="false">IF(B38="","",IFERROR(INDEX(選択肢!$L$2:$L$34,MATCH(B38,選択肢!$K$2:$K$34,0)),"要確認"))</f>
        <v/>
      </c>
      <c r="L38" s="13"/>
    </row>
    <row r="39" customFormat="false" ht="15" hidden="false" customHeight="false" outlineLevel="0" collapsed="false">
      <c r="H39" s="2" t="str">
        <f aca="false">IF(B39="","",IFERROR(INDEX(選択肢!$L$2:$L$34,MATCH(B39,選択肢!$K$2:$K$34,0)),"要確認"))</f>
        <v/>
      </c>
      <c r="L39" s="13"/>
    </row>
    <row r="40" customFormat="false" ht="15" hidden="false" customHeight="false" outlineLevel="0" collapsed="false">
      <c r="H40" s="2" t="str">
        <f aca="false">IF(B40="","",IFERROR(INDEX(選択肢!$L$2:$L$34,MATCH(B40,選択肢!$K$2:$K$34,0)),"要確認"))</f>
        <v/>
      </c>
      <c r="L40" s="13"/>
    </row>
    <row r="41" customFormat="false" ht="15" hidden="false" customHeight="false" outlineLevel="0" collapsed="false">
      <c r="H41" s="2" t="str">
        <f aca="false">IF(B41="","",IFERROR(INDEX(選択肢!$L$2:$L$34,MATCH(B41,選択肢!$K$2:$K$34,0)),"要確認"))</f>
        <v/>
      </c>
      <c r="L41" s="13"/>
    </row>
    <row r="42" customFormat="false" ht="15" hidden="false" customHeight="false" outlineLevel="0" collapsed="false">
      <c r="H42" s="2" t="str">
        <f aca="false">IF(B42="","",IFERROR(INDEX(選択肢!$L$2:$L$34,MATCH(B42,選択肢!$K$2:$K$34,0)),"要確認"))</f>
        <v/>
      </c>
      <c r="L42" s="13"/>
    </row>
    <row r="43" customFormat="false" ht="15" hidden="false" customHeight="false" outlineLevel="0" collapsed="false">
      <c r="H43" s="2" t="str">
        <f aca="false">IF(B43="","",IFERROR(INDEX(選択肢!$L$2:$L$34,MATCH(B43,選択肢!$K$2:$K$34,0)),"要確認"))</f>
        <v/>
      </c>
      <c r="L43" s="13"/>
    </row>
    <row r="44" customFormat="false" ht="15" hidden="false" customHeight="false" outlineLevel="0" collapsed="false">
      <c r="H44" s="2" t="str">
        <f aca="false">IF(B44="","",IFERROR(INDEX(選択肢!$L$2:$L$34,MATCH(B44,選択肢!$K$2:$K$34,0)),"要確認"))</f>
        <v/>
      </c>
      <c r="L44" s="13"/>
    </row>
    <row r="45" customFormat="false" ht="15" hidden="false" customHeight="false" outlineLevel="0" collapsed="false">
      <c r="H45" s="2" t="str">
        <f aca="false">IF(B45="","",IFERROR(INDEX(選択肢!$L$2:$L$34,MATCH(B45,選択肢!$K$2:$K$34,0)),"要確認"))</f>
        <v/>
      </c>
      <c r="L45" s="13"/>
    </row>
    <row r="46" customFormat="false" ht="15" hidden="false" customHeight="false" outlineLevel="0" collapsed="false">
      <c r="H46" s="2" t="str">
        <f aca="false">IF(B46="","",IFERROR(INDEX(選択肢!$L$2:$L$34,MATCH(B46,選択肢!$K$2:$K$34,0)),"要確認"))</f>
        <v/>
      </c>
      <c r="L46" s="13"/>
    </row>
    <row r="47" customFormat="false" ht="15" hidden="false" customHeight="false" outlineLevel="0" collapsed="false">
      <c r="H47" s="2" t="str">
        <f aca="false">IF(B47="","",IFERROR(INDEX(選択肢!$L$2:$L$34,MATCH(B47,選択肢!$K$2:$K$34,0)),"要確認"))</f>
        <v/>
      </c>
      <c r="L47" s="13"/>
    </row>
    <row r="48" customFormat="false" ht="15" hidden="false" customHeight="false" outlineLevel="0" collapsed="false">
      <c r="H48" s="2" t="str">
        <f aca="false">IF(B48="","",IFERROR(INDEX(選択肢!$L$2:$L$34,MATCH(B48,選択肢!$K$2:$K$34,0)),"要確認"))</f>
        <v/>
      </c>
      <c r="L48" s="13"/>
    </row>
    <row r="49" customFormat="false" ht="15" hidden="false" customHeight="false" outlineLevel="0" collapsed="false">
      <c r="H49" s="2" t="str">
        <f aca="false">IF(B49="","",IFERROR(INDEX(選択肢!$L$2:$L$34,MATCH(B49,選択肢!$K$2:$K$34,0)),"要確認"))</f>
        <v/>
      </c>
      <c r="L49" s="13"/>
    </row>
    <row r="50" customFormat="false" ht="15" hidden="false" customHeight="false" outlineLevel="0" collapsed="false">
      <c r="H50" s="2" t="str">
        <f aca="false">IF(B50="","",IFERROR(INDEX(選択肢!$L$2:$L$34,MATCH(B50,選択肢!$K$2:$K$34,0)),"要確認"))</f>
        <v/>
      </c>
      <c r="L50" s="13"/>
    </row>
    <row r="51" customFormat="false" ht="15" hidden="false" customHeight="false" outlineLevel="0" collapsed="false">
      <c r="H51" s="2" t="str">
        <f aca="false">IF(B51="","",IFERROR(INDEX(選択肢!$L$2:$L$34,MATCH(B51,選択肢!$K$2:$K$34,0)),"要確認"))</f>
        <v/>
      </c>
      <c r="L51" s="13"/>
    </row>
    <row r="52" customFormat="false" ht="15" hidden="false" customHeight="false" outlineLevel="0" collapsed="false">
      <c r="H52" s="2" t="str">
        <f aca="false">IF(B52="","",IFERROR(INDEX(選択肢!$L$2:$L$34,MATCH(B52,選択肢!$K$2:$K$34,0)),"要確認"))</f>
        <v/>
      </c>
      <c r="L52" s="13"/>
    </row>
    <row r="53" customFormat="false" ht="15" hidden="false" customHeight="false" outlineLevel="0" collapsed="false">
      <c r="H53" s="2" t="str">
        <f aca="false">IF(B53="","",IFERROR(INDEX(選択肢!$L$2:$L$34,MATCH(B53,選択肢!$K$2:$K$34,0)),"要確認"))</f>
        <v/>
      </c>
      <c r="L53" s="13"/>
    </row>
    <row r="54" customFormat="false" ht="15" hidden="false" customHeight="false" outlineLevel="0" collapsed="false">
      <c r="H54" s="2" t="str">
        <f aca="false">IF(B54="","",IFERROR(INDEX(選択肢!$L$2:$L$34,MATCH(B54,選択肢!$K$2:$K$34,0)),"要確認"))</f>
        <v/>
      </c>
      <c r="L54" s="13"/>
    </row>
    <row r="55" customFormat="false" ht="15" hidden="false" customHeight="false" outlineLevel="0" collapsed="false">
      <c r="H55" s="2" t="str">
        <f aca="false">IF(B55="","",IFERROR(INDEX(選択肢!$L$2:$L$34,MATCH(B55,選択肢!$K$2:$K$34,0)),"要確認"))</f>
        <v/>
      </c>
      <c r="L55" s="13"/>
    </row>
    <row r="56" customFormat="false" ht="15" hidden="false" customHeight="false" outlineLevel="0" collapsed="false">
      <c r="H56" s="2" t="str">
        <f aca="false">IF(B56="","",IFERROR(INDEX(選択肢!$L$2:$L$34,MATCH(B56,選択肢!$K$2:$K$34,0)),"要確認"))</f>
        <v/>
      </c>
      <c r="L56" s="13"/>
    </row>
    <row r="57" customFormat="false" ht="15" hidden="false" customHeight="false" outlineLevel="0" collapsed="false">
      <c r="H57" s="2" t="str">
        <f aca="false">IF(B57="","",IFERROR(INDEX(選択肢!$L$2:$L$34,MATCH(B57,選択肢!$K$2:$K$34,0)),"要確認"))</f>
        <v/>
      </c>
      <c r="L57" s="13"/>
    </row>
    <row r="58" customFormat="false" ht="15" hidden="false" customHeight="false" outlineLevel="0" collapsed="false">
      <c r="H58" s="2" t="str">
        <f aca="false">IF(B58="","",IFERROR(INDEX(選択肢!$L$2:$L$34,MATCH(B58,選択肢!$K$2:$K$34,0)),"要確認"))</f>
        <v/>
      </c>
      <c r="L58" s="13"/>
    </row>
    <row r="59" customFormat="false" ht="15" hidden="false" customHeight="false" outlineLevel="0" collapsed="false">
      <c r="H59" s="2" t="str">
        <f aca="false">IF(B59="","",IFERROR(INDEX(選択肢!$L$2:$L$34,MATCH(B59,選択肢!$K$2:$K$34,0)),"要確認"))</f>
        <v/>
      </c>
      <c r="L59" s="13"/>
    </row>
    <row r="60" customFormat="false" ht="15" hidden="false" customHeight="false" outlineLevel="0" collapsed="false">
      <c r="H60" s="2" t="str">
        <f aca="false">IF(B60="","",IFERROR(INDEX(選択肢!$L$2:$L$34,MATCH(B60,選択肢!$K$2:$K$34,0)),"要確認"))</f>
        <v/>
      </c>
      <c r="L60" s="13"/>
    </row>
    <row r="61" customFormat="false" ht="15" hidden="false" customHeight="false" outlineLevel="0" collapsed="false">
      <c r="H61" s="2" t="str">
        <f aca="false">IF(B61="","",IFERROR(INDEX(選択肢!$L$2:$L$34,MATCH(B61,選択肢!$K$2:$K$34,0)),"要確認"))</f>
        <v/>
      </c>
      <c r="L61" s="13"/>
    </row>
    <row r="62" customFormat="false" ht="15" hidden="false" customHeight="false" outlineLevel="0" collapsed="false">
      <c r="H62" s="2" t="str">
        <f aca="false">IF(B62="","",IFERROR(INDEX(選択肢!$L$2:$L$34,MATCH(B62,選択肢!$K$2:$K$34,0)),"要確認"))</f>
        <v/>
      </c>
      <c r="L62" s="13"/>
    </row>
    <row r="63" customFormat="false" ht="15" hidden="false" customHeight="false" outlineLevel="0" collapsed="false">
      <c r="H63" s="2" t="str">
        <f aca="false">IF(B63="","",IFERROR(INDEX(選択肢!$L$2:$L$34,MATCH(B63,選択肢!$K$2:$K$34,0)),"要確認"))</f>
        <v/>
      </c>
      <c r="L63" s="13"/>
    </row>
    <row r="64" customFormat="false" ht="15" hidden="false" customHeight="false" outlineLevel="0" collapsed="false">
      <c r="H64" s="2" t="str">
        <f aca="false">IF(B64="","",IFERROR(INDEX(選択肢!$L$2:$L$34,MATCH(B64,選択肢!$K$2:$K$34,0)),"要確認"))</f>
        <v/>
      </c>
      <c r="L64" s="13"/>
    </row>
    <row r="65" customFormat="false" ht="15" hidden="false" customHeight="false" outlineLevel="0" collapsed="false">
      <c r="H65" s="2" t="str">
        <f aca="false">IF(B65="","",IFERROR(INDEX(選択肢!$L$2:$L$34,MATCH(B65,選択肢!$K$2:$K$34,0)),"要確認"))</f>
        <v/>
      </c>
      <c r="L65" s="13"/>
    </row>
    <row r="66" customFormat="false" ht="15" hidden="false" customHeight="false" outlineLevel="0" collapsed="false">
      <c r="H66" s="2" t="str">
        <f aca="false">IF(B66="","",IFERROR(INDEX(選択肢!$L$2:$L$34,MATCH(B66,選択肢!$K$2:$K$34,0)),"要確認"))</f>
        <v/>
      </c>
      <c r="L66" s="13"/>
    </row>
    <row r="67" customFormat="false" ht="15" hidden="false" customHeight="false" outlineLevel="0" collapsed="false">
      <c r="H67" s="2" t="str">
        <f aca="false">IF(B67="","",IFERROR(INDEX(選択肢!$L$2:$L$34,MATCH(B67,選択肢!$K$2:$K$34,0)),"要確認"))</f>
        <v/>
      </c>
      <c r="L67" s="13"/>
    </row>
    <row r="68" customFormat="false" ht="15" hidden="false" customHeight="false" outlineLevel="0" collapsed="false">
      <c r="H68" s="2" t="str">
        <f aca="false">IF(B68="","",IFERROR(INDEX(選択肢!$L$2:$L$34,MATCH(B68,選択肢!$K$2:$K$34,0)),"要確認"))</f>
        <v/>
      </c>
      <c r="L68" s="13"/>
    </row>
    <row r="69" customFormat="false" ht="15" hidden="false" customHeight="false" outlineLevel="0" collapsed="false">
      <c r="H69" s="2" t="str">
        <f aca="false">IF(B69="","",IFERROR(INDEX(選択肢!$L$2:$L$34,MATCH(B69,選択肢!$K$2:$K$34,0)),"要確認"))</f>
        <v/>
      </c>
      <c r="L69" s="13"/>
    </row>
    <row r="70" customFormat="false" ht="15" hidden="false" customHeight="false" outlineLevel="0" collapsed="false">
      <c r="H70" s="2" t="str">
        <f aca="false">IF(B70="","",IFERROR(INDEX(選択肢!$L$2:$L$34,MATCH(B70,選択肢!$K$2:$K$34,0)),"要確認"))</f>
        <v/>
      </c>
      <c r="L70" s="13"/>
    </row>
    <row r="71" customFormat="false" ht="15" hidden="false" customHeight="false" outlineLevel="0" collapsed="false">
      <c r="H71" s="2" t="str">
        <f aca="false">IF(B71="","",IFERROR(INDEX(選択肢!$L$2:$L$34,MATCH(B71,選択肢!$K$2:$K$34,0)),"要確認"))</f>
        <v/>
      </c>
      <c r="L71" s="13"/>
    </row>
    <row r="72" customFormat="false" ht="15" hidden="false" customHeight="false" outlineLevel="0" collapsed="false">
      <c r="H72" s="2" t="str">
        <f aca="false">IF(B72="","",IFERROR(INDEX(選択肢!$L$2:$L$34,MATCH(B72,選択肢!$K$2:$K$34,0)),"要確認"))</f>
        <v/>
      </c>
      <c r="L72" s="13"/>
    </row>
    <row r="73" customFormat="false" ht="15" hidden="false" customHeight="false" outlineLevel="0" collapsed="false">
      <c r="H73" s="2" t="str">
        <f aca="false">IF(B73="","",IFERROR(INDEX(選択肢!$L$2:$L$34,MATCH(B73,選択肢!$K$2:$K$34,0)),"要確認"))</f>
        <v/>
      </c>
      <c r="L73" s="13"/>
    </row>
    <row r="74" customFormat="false" ht="15" hidden="false" customHeight="false" outlineLevel="0" collapsed="false">
      <c r="H74" s="2" t="str">
        <f aca="false">IF(B74="","",IFERROR(INDEX(選択肢!$L$2:$L$34,MATCH(B74,選択肢!$K$2:$K$34,0)),"要確認"))</f>
        <v/>
      </c>
      <c r="L74" s="13"/>
    </row>
    <row r="75" customFormat="false" ht="15" hidden="false" customHeight="false" outlineLevel="0" collapsed="false">
      <c r="H75" s="2" t="str">
        <f aca="false">IF(B75="","",IFERROR(INDEX(選択肢!$L$2:$L$34,MATCH(B75,選択肢!$K$2:$K$34,0)),"要確認"))</f>
        <v/>
      </c>
      <c r="L75" s="13"/>
    </row>
    <row r="76" customFormat="false" ht="15" hidden="false" customHeight="false" outlineLevel="0" collapsed="false">
      <c r="H76" s="2" t="str">
        <f aca="false">IF(B76="","",IFERROR(INDEX(選択肢!$L$2:$L$34,MATCH(B76,選択肢!$K$2:$K$34,0)),"要確認"))</f>
        <v/>
      </c>
      <c r="L76" s="13"/>
    </row>
    <row r="77" customFormat="false" ht="15" hidden="false" customHeight="false" outlineLevel="0" collapsed="false">
      <c r="H77" s="2" t="str">
        <f aca="false">IF(B77="","",IFERROR(INDEX(選択肢!$L$2:$L$34,MATCH(B77,選択肢!$K$2:$K$34,0)),"要確認"))</f>
        <v/>
      </c>
      <c r="L77" s="13"/>
    </row>
    <row r="78" customFormat="false" ht="15" hidden="false" customHeight="false" outlineLevel="0" collapsed="false">
      <c r="H78" s="2" t="str">
        <f aca="false">IF(B78="","",IFERROR(INDEX(選択肢!$L$2:$L$34,MATCH(B78,選択肢!$K$2:$K$34,0)),"要確認"))</f>
        <v/>
      </c>
      <c r="L78" s="13"/>
    </row>
    <row r="79" customFormat="false" ht="15" hidden="false" customHeight="false" outlineLevel="0" collapsed="false">
      <c r="H79" s="2" t="str">
        <f aca="false">IF(B79="","",IFERROR(INDEX(選択肢!$L$2:$L$34,MATCH(B79,選択肢!$K$2:$K$34,0)),"要確認"))</f>
        <v/>
      </c>
      <c r="L79" s="13"/>
    </row>
    <row r="80" customFormat="false" ht="15" hidden="false" customHeight="false" outlineLevel="0" collapsed="false">
      <c r="H80" s="2" t="str">
        <f aca="false">IF(B80="","",IFERROR(INDEX(選択肢!$L$2:$L$34,MATCH(B80,選択肢!$K$2:$K$34,0)),"要確認"))</f>
        <v/>
      </c>
      <c r="L80" s="13"/>
    </row>
    <row r="81" customFormat="false" ht="15" hidden="false" customHeight="false" outlineLevel="0" collapsed="false">
      <c r="H81" s="2" t="str">
        <f aca="false">IF(B81="","",IFERROR(INDEX(選択肢!$L$2:$L$34,MATCH(B81,選択肢!$K$2:$K$34,0)),"要確認"))</f>
        <v/>
      </c>
      <c r="L81" s="13"/>
    </row>
    <row r="82" customFormat="false" ht="15" hidden="false" customHeight="false" outlineLevel="0" collapsed="false">
      <c r="H82" s="2" t="str">
        <f aca="false">IF(B82="","",IFERROR(INDEX(選択肢!$L$2:$L$34,MATCH(B82,選択肢!$K$2:$K$34,0)),"要確認"))</f>
        <v/>
      </c>
      <c r="L82" s="13"/>
    </row>
    <row r="83" customFormat="false" ht="15" hidden="false" customHeight="false" outlineLevel="0" collapsed="false">
      <c r="H83" s="2" t="str">
        <f aca="false">IF(B83="","",IFERROR(INDEX(選択肢!$L$2:$L$34,MATCH(B83,選択肢!$K$2:$K$34,0)),"要確認"))</f>
        <v/>
      </c>
      <c r="L83" s="13"/>
    </row>
    <row r="84" customFormat="false" ht="15" hidden="false" customHeight="false" outlineLevel="0" collapsed="false">
      <c r="H84" s="2" t="str">
        <f aca="false">IF(B84="","",IFERROR(INDEX(選択肢!$L$2:$L$34,MATCH(B84,選択肢!$K$2:$K$34,0)),"要確認"))</f>
        <v/>
      </c>
      <c r="L84" s="13"/>
    </row>
    <row r="85" customFormat="false" ht="15" hidden="false" customHeight="false" outlineLevel="0" collapsed="false">
      <c r="H85" s="2" t="str">
        <f aca="false">IF(B85="","",IFERROR(INDEX(選択肢!$L$2:$L$34,MATCH(B85,選択肢!$K$2:$K$34,0)),"要確認"))</f>
        <v/>
      </c>
      <c r="L85" s="13"/>
    </row>
    <row r="86" customFormat="false" ht="15" hidden="false" customHeight="false" outlineLevel="0" collapsed="false">
      <c r="H86" s="2" t="str">
        <f aca="false">IF(B86="","",IFERROR(INDEX(選択肢!$L$2:$L$34,MATCH(B86,選択肢!$K$2:$K$34,0)),"要確認"))</f>
        <v/>
      </c>
      <c r="L86" s="13"/>
    </row>
    <row r="87" customFormat="false" ht="15" hidden="false" customHeight="false" outlineLevel="0" collapsed="false">
      <c r="H87" s="2" t="str">
        <f aca="false">IF(B87="","",IFERROR(INDEX(選択肢!$L$2:$L$34,MATCH(B87,選択肢!$K$2:$K$34,0)),"要確認"))</f>
        <v/>
      </c>
      <c r="L87" s="13"/>
    </row>
    <row r="88" customFormat="false" ht="15" hidden="false" customHeight="false" outlineLevel="0" collapsed="false">
      <c r="H88" s="2" t="str">
        <f aca="false">IF(B88="","",IFERROR(INDEX(選択肢!$L$2:$L$34,MATCH(B88,選択肢!$K$2:$K$34,0)),"要確認"))</f>
        <v/>
      </c>
      <c r="L88" s="13"/>
    </row>
    <row r="89" customFormat="false" ht="15" hidden="false" customHeight="false" outlineLevel="0" collapsed="false">
      <c r="H89" s="2" t="str">
        <f aca="false">IF(B89="","",IFERROR(INDEX(選択肢!$L$2:$L$34,MATCH(B89,選択肢!$K$2:$K$34,0)),"要確認"))</f>
        <v/>
      </c>
      <c r="L89" s="13"/>
    </row>
    <row r="90" customFormat="false" ht="15" hidden="false" customHeight="false" outlineLevel="0" collapsed="false">
      <c r="H90" s="2" t="str">
        <f aca="false">IF(B90="","",IFERROR(INDEX(選択肢!$L$2:$L$34,MATCH(B90,選択肢!$K$2:$K$34,0)),"要確認"))</f>
        <v/>
      </c>
      <c r="L90" s="13"/>
    </row>
    <row r="91" customFormat="false" ht="15" hidden="false" customHeight="false" outlineLevel="0" collapsed="false">
      <c r="H91" s="2" t="str">
        <f aca="false">IF(B91="","",IFERROR(INDEX(選択肢!$L$2:$L$34,MATCH(B91,選択肢!$K$2:$K$34,0)),"要確認"))</f>
        <v/>
      </c>
      <c r="L91" s="13"/>
    </row>
    <row r="92" customFormat="false" ht="15" hidden="false" customHeight="false" outlineLevel="0" collapsed="false">
      <c r="H92" s="2" t="str">
        <f aca="false">IF(B92="","",IFERROR(INDEX(選択肢!$L$2:$L$34,MATCH(B92,選択肢!$K$2:$K$34,0)),"要確認"))</f>
        <v/>
      </c>
      <c r="L92" s="13"/>
    </row>
    <row r="93" customFormat="false" ht="15" hidden="false" customHeight="false" outlineLevel="0" collapsed="false">
      <c r="H93" s="2" t="str">
        <f aca="false">IF(B93="","",IFERROR(INDEX(選択肢!$L$2:$L$34,MATCH(B93,選択肢!$K$2:$K$34,0)),"要確認"))</f>
        <v/>
      </c>
      <c r="L93" s="13"/>
    </row>
    <row r="94" customFormat="false" ht="15" hidden="false" customHeight="false" outlineLevel="0" collapsed="false">
      <c r="H94" s="2" t="str">
        <f aca="false">IF(B94="","",IFERROR(INDEX(選択肢!$L$2:$L$34,MATCH(B94,選択肢!$K$2:$K$34,0)),"要確認"))</f>
        <v/>
      </c>
      <c r="L94" s="13"/>
    </row>
    <row r="95" customFormat="false" ht="15" hidden="false" customHeight="false" outlineLevel="0" collapsed="false">
      <c r="H95" s="2" t="str">
        <f aca="false">IF(B95="","",IFERROR(INDEX(選択肢!$L$2:$L$34,MATCH(B95,選択肢!$K$2:$K$34,0)),"要確認"))</f>
        <v/>
      </c>
      <c r="L95" s="13"/>
    </row>
    <row r="96" customFormat="false" ht="15" hidden="false" customHeight="false" outlineLevel="0" collapsed="false">
      <c r="H96" s="2" t="str">
        <f aca="false">IF(B96="","",IFERROR(INDEX(選択肢!$L$2:$L$34,MATCH(B96,選択肢!$K$2:$K$34,0)),"要確認"))</f>
        <v/>
      </c>
      <c r="L96" s="13"/>
    </row>
    <row r="97" customFormat="false" ht="15" hidden="false" customHeight="false" outlineLevel="0" collapsed="false">
      <c r="H97" s="2" t="str">
        <f aca="false">IF(B97="","",IFERROR(INDEX(選択肢!$L$2:$L$34,MATCH(B97,選択肢!$K$2:$K$34,0)),"要確認"))</f>
        <v/>
      </c>
      <c r="L97" s="13"/>
    </row>
    <row r="98" customFormat="false" ht="15" hidden="false" customHeight="false" outlineLevel="0" collapsed="false">
      <c r="H98" s="2" t="str">
        <f aca="false">IF(B98="","",IFERROR(INDEX(選択肢!$L$2:$L$34,MATCH(B98,選択肢!$K$2:$K$34,0)),"要確認"))</f>
        <v/>
      </c>
      <c r="L98" s="13"/>
    </row>
    <row r="99" customFormat="false" ht="15" hidden="false" customHeight="false" outlineLevel="0" collapsed="false">
      <c r="H99" s="2" t="str">
        <f aca="false">IF(B99="","",IFERROR(INDEX(選択肢!$L$2:$L$34,MATCH(B99,選択肢!$K$2:$K$34,0)),"要確認"))</f>
        <v/>
      </c>
      <c r="L99" s="13"/>
    </row>
    <row r="100" customFormat="false" ht="15" hidden="false" customHeight="false" outlineLevel="0" collapsed="false">
      <c r="H100" s="2" t="str">
        <f aca="false">IF(B100="","",IFERROR(INDEX(選択肢!$L$2:$L$34,MATCH(B100,選択肢!$K$2:$K$34,0)),"要確認"))</f>
        <v/>
      </c>
      <c r="L100" s="13"/>
    </row>
  </sheetData>
  <autoFilter ref="A1:M100"/>
  <dataValidations count="5">
    <dataValidation allowBlank="true" errorStyle="stop" operator="between" showDropDown="false" showErrorMessage="false" showInputMessage="false" sqref="D2:D100" type="list">
      <formula1>選択肢!$G$2:$G$6</formula1>
      <formula2>0</formula2>
    </dataValidation>
    <dataValidation allowBlank="true" errorStyle="stop" operator="between" showDropDown="false" showErrorMessage="false" showInputMessage="false" sqref="G2:G100" type="list">
      <formula1>選択肢!$H$2:$H$8</formula1>
      <formula2>0</formula2>
    </dataValidation>
    <dataValidation allowBlank="true" errorStyle="stop" operator="between" showDropDown="false" showErrorMessage="false" showInputMessage="false" sqref="I2:I100" type="list">
      <formula1>選択肢!$I$2:$I$4</formula1>
      <formula2>0</formula2>
    </dataValidation>
    <dataValidation allowBlank="true" errorStyle="stop" operator="between" showDropDown="false" showErrorMessage="false" showInputMessage="false" sqref="K2:K100" type="list">
      <formula1>選択肢!$A$2:$A$7</formula1>
      <formula2>0</formula2>
    </dataValidation>
    <dataValidation allowBlank="true" errorStyle="stop" operator="between" showDropDown="false" showErrorMessage="false" showInputMessage="false" sqref="B2:B100" type="list">
      <formula1>選択肢!$K$2:$K$34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2026-10-26T20:26:03Z</dcterms:created>
  <dc:creator>openpyxl</dc:creator>
  <dc:description/>
  <dc:language>en-US</dc:language>
  <cp:lastModifiedBy/>
  <dcterms:modified xsi:type="dcterms:W3CDTF">2026-10-26T20:26:03Z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